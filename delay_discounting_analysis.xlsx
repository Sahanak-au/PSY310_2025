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P Kavitha\Desktop\PSY310_Lab_In_Psych\Psychopy_experiments\0.6_Delay_Discounting\"/>
    </mc:Choice>
  </mc:AlternateContent>
  <xr:revisionPtr revIDLastSave="0" documentId="13_ncr:1_{CA4E0CD1-7A9B-45B4-8A21-C15143EE5A69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001_ka" sheetId="1" r:id="rId1"/>
    <sheet name="002_vi" sheetId="2" r:id="rId2"/>
    <sheet name="003_st" sheetId="3" r:id="rId3"/>
    <sheet name="004_g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4" l="1"/>
  <c r="H2" i="3"/>
  <c r="E56" i="3"/>
  <c r="E97" i="3"/>
  <c r="E26" i="3"/>
  <c r="E32" i="3"/>
  <c r="E64" i="3"/>
  <c r="E5" i="3"/>
  <c r="E30" i="3"/>
  <c r="E3" i="3"/>
  <c r="E70" i="3"/>
  <c r="E39" i="3"/>
  <c r="E38" i="3"/>
  <c r="E75" i="3"/>
  <c r="E33" i="3"/>
  <c r="E6" i="3"/>
  <c r="E28" i="3"/>
  <c r="E31" i="3"/>
  <c r="E40" i="3"/>
  <c r="E65" i="3"/>
  <c r="E48" i="3"/>
  <c r="E4" i="3"/>
  <c r="E96" i="3"/>
  <c r="E14" i="3"/>
  <c r="E18" i="3"/>
  <c r="E91" i="3"/>
  <c r="E16" i="3"/>
  <c r="E67" i="3"/>
  <c r="E95" i="3"/>
  <c r="E45" i="3"/>
  <c r="E52" i="3"/>
  <c r="E12" i="3"/>
  <c r="E21" i="3"/>
  <c r="E43" i="3"/>
  <c r="E74" i="3"/>
  <c r="E77" i="3"/>
  <c r="E79" i="3"/>
  <c r="E89" i="3"/>
  <c r="E76" i="3"/>
  <c r="E53" i="3"/>
  <c r="E57" i="3"/>
  <c r="E50" i="3"/>
  <c r="E86" i="3"/>
  <c r="E41" i="3"/>
  <c r="E22" i="3"/>
  <c r="E15" i="3"/>
  <c r="E60" i="3"/>
  <c r="E93" i="3"/>
  <c r="E47" i="3"/>
  <c r="E8" i="3"/>
  <c r="E85" i="3"/>
  <c r="E61" i="3"/>
  <c r="E42" i="3"/>
  <c r="E88" i="3"/>
  <c r="E24" i="3"/>
  <c r="E71" i="3"/>
  <c r="E81" i="3"/>
  <c r="E20" i="3"/>
  <c r="E46" i="3"/>
  <c r="E82" i="3"/>
  <c r="E9" i="3"/>
  <c r="E11" i="3"/>
  <c r="E51" i="3"/>
  <c r="E68" i="3"/>
  <c r="E92" i="3"/>
  <c r="E36" i="3"/>
  <c r="E2" i="3"/>
  <c r="E63" i="3"/>
  <c r="E27" i="3"/>
  <c r="E73" i="3"/>
  <c r="E90" i="3"/>
  <c r="E49" i="3"/>
  <c r="E23" i="3"/>
  <c r="E37" i="3"/>
  <c r="E29" i="3"/>
  <c r="E94" i="3"/>
  <c r="E7" i="3"/>
  <c r="E87" i="3"/>
  <c r="E25" i="3"/>
  <c r="E58" i="3"/>
  <c r="E78" i="3"/>
  <c r="E84" i="3"/>
  <c r="E44" i="3"/>
  <c r="E54" i="3"/>
  <c r="E10" i="3"/>
  <c r="E98" i="3"/>
  <c r="E17" i="3"/>
  <c r="E66" i="3"/>
  <c r="E34" i="3"/>
  <c r="E13" i="3"/>
  <c r="E59" i="3"/>
  <c r="E99" i="3"/>
  <c r="E55" i="3"/>
  <c r="E35" i="3"/>
  <c r="E100" i="3"/>
  <c r="E19" i="3"/>
  <c r="E69" i="3"/>
  <c r="E62" i="3"/>
  <c r="E80" i="3"/>
  <c r="E101" i="3"/>
  <c r="E72" i="3"/>
  <c r="E83" i="3"/>
  <c r="E19" i="4"/>
  <c r="E10" i="4"/>
  <c r="E59" i="4"/>
  <c r="E44" i="4"/>
  <c r="E75" i="4"/>
  <c r="E15" i="4"/>
  <c r="E87" i="4"/>
  <c r="E64" i="4"/>
  <c r="E31" i="4"/>
  <c r="E66" i="4"/>
  <c r="E11" i="4"/>
  <c r="E18" i="4"/>
  <c r="E52" i="4"/>
  <c r="E94" i="4"/>
  <c r="E74" i="4"/>
  <c r="E57" i="4"/>
  <c r="E39" i="4"/>
  <c r="E27" i="4"/>
  <c r="E13" i="4"/>
  <c r="E12" i="4"/>
  <c r="E24" i="4"/>
  <c r="E78" i="4"/>
  <c r="E89" i="4"/>
  <c r="E5" i="4"/>
  <c r="E14" i="4"/>
  <c r="E71" i="4"/>
  <c r="E28" i="4"/>
  <c r="E67" i="4"/>
  <c r="E70" i="4"/>
  <c r="E69" i="4"/>
  <c r="E17" i="4"/>
  <c r="E9" i="4"/>
  <c r="E45" i="4"/>
  <c r="E8" i="4"/>
  <c r="E73" i="4"/>
  <c r="E90" i="4"/>
  <c r="E95" i="4"/>
  <c r="E50" i="4"/>
  <c r="E88" i="4"/>
  <c r="E93" i="4"/>
  <c r="E42" i="4"/>
  <c r="E101" i="4"/>
  <c r="E33" i="4"/>
  <c r="E16" i="4"/>
  <c r="E34" i="4"/>
  <c r="E54" i="4"/>
  <c r="E58" i="4"/>
  <c r="E48" i="4"/>
  <c r="E4" i="4"/>
  <c r="E22" i="4"/>
  <c r="E29" i="4"/>
  <c r="E20" i="4"/>
  <c r="E7" i="4"/>
  <c r="E36" i="4"/>
  <c r="E38" i="4"/>
  <c r="E72" i="4"/>
  <c r="E61" i="4"/>
  <c r="E99" i="4"/>
  <c r="E84" i="4"/>
  <c r="E21" i="4"/>
  <c r="E86" i="4"/>
  <c r="E23" i="4"/>
  <c r="E81" i="4"/>
  <c r="E85" i="4"/>
  <c r="E43" i="4"/>
  <c r="E51" i="4"/>
  <c r="E63" i="4"/>
  <c r="E49" i="4"/>
  <c r="E83" i="4"/>
  <c r="E60" i="4"/>
  <c r="E35" i="4"/>
  <c r="E62" i="4"/>
  <c r="E100" i="4"/>
  <c r="E65" i="4"/>
  <c r="E79" i="4"/>
  <c r="E82" i="4"/>
  <c r="E37" i="4"/>
  <c r="E30" i="4"/>
  <c r="E68" i="4"/>
  <c r="E41" i="4"/>
  <c r="E97" i="4"/>
  <c r="E25" i="4"/>
  <c r="E92" i="4"/>
  <c r="E91" i="4"/>
  <c r="E76" i="4"/>
  <c r="E3" i="4"/>
  <c r="E2" i="4"/>
  <c r="E32" i="4"/>
  <c r="E77" i="4"/>
  <c r="E56" i="4"/>
  <c r="E46" i="4"/>
  <c r="E96" i="4"/>
  <c r="E40" i="4"/>
  <c r="E80" i="4"/>
  <c r="E98" i="4"/>
  <c r="E26" i="4"/>
  <c r="E6" i="4"/>
  <c r="E55" i="4"/>
  <c r="E47" i="4"/>
  <c r="E53" i="4"/>
  <c r="H3" i="2"/>
  <c r="E5" i="2"/>
  <c r="E29" i="2"/>
  <c r="E87" i="2"/>
  <c r="E41" i="2"/>
  <c r="E81" i="2"/>
  <c r="E40" i="2"/>
  <c r="E38" i="2"/>
  <c r="E98" i="2"/>
  <c r="E57" i="2"/>
  <c r="E34" i="2"/>
  <c r="E60" i="2"/>
  <c r="E58" i="2"/>
  <c r="E49" i="2"/>
  <c r="E54" i="2"/>
  <c r="E91" i="2"/>
  <c r="E21" i="2"/>
  <c r="E73" i="2"/>
  <c r="E76" i="2"/>
  <c r="E50" i="2"/>
  <c r="E31" i="2"/>
  <c r="E35" i="2"/>
  <c r="E55" i="2"/>
  <c r="E71" i="2"/>
  <c r="E47" i="2"/>
  <c r="E66" i="2"/>
  <c r="E51" i="2"/>
  <c r="E28" i="2"/>
  <c r="E14" i="2"/>
  <c r="E20" i="2"/>
  <c r="E26" i="2"/>
  <c r="E94" i="2"/>
  <c r="E8" i="2"/>
  <c r="E30" i="2"/>
  <c r="E7" i="2"/>
  <c r="E68" i="2"/>
  <c r="E83" i="2"/>
  <c r="E77" i="2"/>
  <c r="E10" i="2"/>
  <c r="E63" i="2"/>
  <c r="E24" i="2"/>
  <c r="E42" i="2"/>
  <c r="E93" i="2"/>
  <c r="E62" i="2"/>
  <c r="E22" i="2"/>
  <c r="E53" i="2"/>
  <c r="E86" i="2"/>
  <c r="E56" i="2"/>
  <c r="E80" i="2"/>
  <c r="E36" i="2"/>
  <c r="E90" i="2"/>
  <c r="E11" i="2"/>
  <c r="E44" i="2"/>
  <c r="E52" i="2"/>
  <c r="E43" i="2"/>
  <c r="E100" i="2"/>
  <c r="E59" i="2"/>
  <c r="E78" i="2"/>
  <c r="E70" i="2"/>
  <c r="E37" i="2"/>
  <c r="E92" i="2"/>
  <c r="E75" i="2"/>
  <c r="E13" i="2"/>
  <c r="E69" i="2"/>
  <c r="E4" i="2"/>
  <c r="E99" i="2"/>
  <c r="E48" i="2"/>
  <c r="E3" i="2"/>
  <c r="E23" i="2"/>
  <c r="E17" i="2"/>
  <c r="E32" i="2"/>
  <c r="E72" i="2"/>
  <c r="E96" i="2"/>
  <c r="E67" i="2"/>
  <c r="E95" i="2"/>
  <c r="E2" i="2"/>
  <c r="E12" i="2"/>
  <c r="E79" i="2"/>
  <c r="E18" i="2"/>
  <c r="E9" i="2"/>
  <c r="E89" i="2"/>
  <c r="E25" i="2"/>
  <c r="E27" i="2"/>
  <c r="E46" i="2"/>
  <c r="E19" i="2"/>
  <c r="E65" i="2"/>
  <c r="E82" i="2"/>
  <c r="E15" i="2"/>
  <c r="E39" i="2"/>
  <c r="E33" i="2"/>
  <c r="E88" i="2"/>
  <c r="E45" i="2"/>
  <c r="E101" i="2"/>
  <c r="E6" i="2"/>
  <c r="E97" i="2"/>
  <c r="E84" i="2"/>
  <c r="E16" i="2"/>
  <c r="E85" i="2"/>
  <c r="E61" i="2"/>
  <c r="E64" i="2"/>
  <c r="E74" i="2"/>
  <c r="H2" i="1"/>
  <c r="E14" i="1"/>
  <c r="E38" i="1"/>
  <c r="E68" i="1"/>
  <c r="E28" i="1"/>
  <c r="E18" i="1"/>
  <c r="E57" i="1"/>
  <c r="E95" i="1"/>
  <c r="E66" i="1"/>
  <c r="E93" i="1"/>
  <c r="E85" i="1"/>
  <c r="E39" i="1"/>
  <c r="E43" i="1"/>
  <c r="E81" i="1"/>
  <c r="E32" i="1"/>
  <c r="E33" i="1"/>
  <c r="E50" i="1"/>
  <c r="E56" i="1"/>
  <c r="E6" i="1"/>
  <c r="E84" i="1"/>
  <c r="E67" i="1"/>
  <c r="E83" i="1"/>
  <c r="E94" i="1"/>
  <c r="E2" i="1"/>
  <c r="E4" i="1"/>
  <c r="E29" i="1"/>
  <c r="E73" i="1"/>
  <c r="E75" i="1"/>
  <c r="E54" i="1"/>
  <c r="E25" i="1"/>
  <c r="E60" i="1"/>
  <c r="E24" i="1"/>
  <c r="E48" i="1"/>
  <c r="E101" i="1"/>
  <c r="E58" i="1"/>
  <c r="E61" i="1"/>
  <c r="E45" i="1"/>
  <c r="E51" i="1"/>
  <c r="E72" i="1"/>
  <c r="E9" i="1"/>
  <c r="E99" i="1"/>
  <c r="E27" i="1"/>
  <c r="E12" i="1"/>
  <c r="E86" i="1"/>
  <c r="E70" i="1"/>
  <c r="E64" i="1"/>
  <c r="E19" i="1"/>
  <c r="E13" i="1"/>
  <c r="E92" i="1"/>
  <c r="E89" i="1"/>
  <c r="E53" i="1"/>
  <c r="E16" i="1"/>
  <c r="E44" i="1"/>
  <c r="E49" i="1"/>
  <c r="E5" i="1"/>
  <c r="E82" i="1"/>
  <c r="E90" i="1"/>
  <c r="E17" i="1"/>
  <c r="E52" i="1"/>
  <c r="E46" i="1"/>
  <c r="E74" i="1"/>
  <c r="E91" i="1"/>
  <c r="E35" i="1"/>
  <c r="E98" i="1"/>
  <c r="E100" i="1"/>
  <c r="E30" i="1"/>
  <c r="E23" i="1"/>
  <c r="E65" i="1"/>
  <c r="E62" i="1"/>
  <c r="E96" i="1"/>
  <c r="E15" i="1"/>
  <c r="E87" i="1"/>
  <c r="E26" i="1"/>
  <c r="E59" i="1"/>
  <c r="E31" i="1"/>
  <c r="E55" i="1"/>
  <c r="E69" i="1"/>
  <c r="E20" i="1"/>
  <c r="E21" i="1"/>
  <c r="E42" i="1"/>
  <c r="E8" i="1"/>
  <c r="E97" i="1"/>
  <c r="E34" i="1"/>
  <c r="E71" i="1"/>
  <c r="E10" i="1"/>
  <c r="E63" i="1"/>
  <c r="E41" i="1"/>
  <c r="E37" i="1"/>
  <c r="E78" i="1"/>
  <c r="E47" i="1"/>
  <c r="E77" i="1"/>
  <c r="E3" i="1"/>
  <c r="E79" i="1"/>
  <c r="E11" i="1"/>
  <c r="E80" i="1"/>
  <c r="E88" i="1"/>
  <c r="E76" i="1"/>
  <c r="E22" i="1"/>
  <c r="E40" i="1"/>
  <c r="E36" i="1"/>
  <c r="E7" i="1"/>
</calcChain>
</file>

<file path=xl/sharedStrings.xml><?xml version="1.0" encoding="utf-8"?>
<sst xmlns="http://schemas.openxmlformats.org/spreadsheetml/2006/main" count="424" uniqueCount="10">
  <si>
    <t>reward_today</t>
  </si>
  <si>
    <t>future_reward</t>
  </si>
  <si>
    <t>delay</t>
  </si>
  <si>
    <t>key_resp.keys</t>
  </si>
  <si>
    <t>t</t>
  </si>
  <si>
    <t>l</t>
  </si>
  <si>
    <t>k</t>
  </si>
  <si>
    <t>geomteric mean=</t>
  </si>
  <si>
    <t>geomean</t>
  </si>
  <si>
    <t>geomean=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</si>
</sst>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zoomScale="70" zoomScaleNormal="70" workbookViewId="0">
      <selection activeCell="J6" sqref="J6"/>
    </sheetView>
  </sheetViews>
  <sheetFormatPr defaultRowHeight="14.25" x14ac:dyDescent="0.45"/>
  <cols>
    <col min="4" max="4" width="13.19921875" customWidth="1"/>
    <col min="5" max="5" width="21.9296875" customWidth="1"/>
    <col min="7" max="7" width="18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8" x14ac:dyDescent="0.45">
      <c r="A2">
        <v>694.14</v>
      </c>
      <c r="B2">
        <v>700</v>
      </c>
      <c r="C2">
        <v>714</v>
      </c>
      <c r="D2" t="s">
        <v>4</v>
      </c>
      <c r="E2">
        <f t="shared" ref="E2:E33" si="0">((B2/A2)-1)/C2</f>
        <v>1.1823670892277125E-5</v>
      </c>
      <c r="G2" t="s">
        <v>7</v>
      </c>
      <c r="H2">
        <f>GEOMEAN(E77,E78)</f>
        <v>1.9307005880172317E-3</v>
      </c>
    </row>
    <row r="3" spans="1:8" x14ac:dyDescent="0.45">
      <c r="A3">
        <v>693.16</v>
      </c>
      <c r="B3">
        <v>700</v>
      </c>
      <c r="C3">
        <v>664</v>
      </c>
      <c r="D3" t="s">
        <v>4</v>
      </c>
      <c r="E3">
        <f t="shared" si="0"/>
        <v>1.4861222256444723E-5</v>
      </c>
    </row>
    <row r="4" spans="1:8" x14ac:dyDescent="0.45">
      <c r="A4">
        <v>692.59</v>
      </c>
      <c r="B4">
        <v>700</v>
      </c>
      <c r="C4">
        <v>686</v>
      </c>
      <c r="D4" t="s">
        <v>4</v>
      </c>
      <c r="E4">
        <f t="shared" si="0"/>
        <v>1.5596166954673086E-5</v>
      </c>
    </row>
    <row r="5" spans="1:8" x14ac:dyDescent="0.45">
      <c r="A5">
        <v>686.49</v>
      </c>
      <c r="B5">
        <v>700</v>
      </c>
      <c r="C5">
        <v>714</v>
      </c>
      <c r="D5" t="s">
        <v>4</v>
      </c>
      <c r="E5">
        <f t="shared" si="0"/>
        <v>2.7562773860436321E-5</v>
      </c>
    </row>
    <row r="6" spans="1:8" x14ac:dyDescent="0.45">
      <c r="A6">
        <v>553.27</v>
      </c>
      <c r="B6">
        <v>574.19000000000005</v>
      </c>
      <c r="C6">
        <v>560</v>
      </c>
      <c r="D6" t="s">
        <v>4</v>
      </c>
      <c r="E6">
        <f t="shared" si="0"/>
        <v>6.7520637043655014E-5</v>
      </c>
    </row>
    <row r="7" spans="1:8" x14ac:dyDescent="0.45">
      <c r="A7">
        <v>633.66</v>
      </c>
      <c r="B7">
        <v>663.03</v>
      </c>
      <c r="C7">
        <v>638</v>
      </c>
      <c r="D7" t="s">
        <v>4</v>
      </c>
      <c r="E7">
        <f t="shared" si="0"/>
        <v>7.2648554048891713E-5</v>
      </c>
    </row>
    <row r="8" spans="1:8" x14ac:dyDescent="0.45">
      <c r="A8">
        <v>555.92999999999995</v>
      </c>
      <c r="B8">
        <v>576.44000000000005</v>
      </c>
      <c r="C8">
        <v>507</v>
      </c>
      <c r="D8" t="s">
        <v>4</v>
      </c>
      <c r="E8">
        <f t="shared" si="0"/>
        <v>7.2767522737012777E-5</v>
      </c>
    </row>
    <row r="9" spans="1:8" x14ac:dyDescent="0.45">
      <c r="A9">
        <v>668.46</v>
      </c>
      <c r="B9">
        <v>700</v>
      </c>
      <c r="C9">
        <v>601</v>
      </c>
      <c r="D9" t="s">
        <v>4</v>
      </c>
      <c r="E9">
        <f t="shared" si="0"/>
        <v>7.850761650826493E-5</v>
      </c>
    </row>
    <row r="10" spans="1:8" x14ac:dyDescent="0.45">
      <c r="A10">
        <v>541.87</v>
      </c>
      <c r="B10">
        <v>572.02</v>
      </c>
      <c r="C10">
        <v>603</v>
      </c>
      <c r="D10" t="s">
        <v>4</v>
      </c>
      <c r="E10">
        <f t="shared" si="0"/>
        <v>9.2273054422647435E-5</v>
      </c>
    </row>
    <row r="11" spans="1:8" x14ac:dyDescent="0.45">
      <c r="A11">
        <v>655.35</v>
      </c>
      <c r="B11">
        <v>700</v>
      </c>
      <c r="C11">
        <v>708</v>
      </c>
      <c r="D11" t="s">
        <v>4</v>
      </c>
      <c r="E11">
        <f t="shared" si="0"/>
        <v>9.6230978486934332E-5</v>
      </c>
    </row>
    <row r="12" spans="1:8" x14ac:dyDescent="0.45">
      <c r="A12">
        <v>543.29999999999995</v>
      </c>
      <c r="B12">
        <v>571.71</v>
      </c>
      <c r="C12">
        <v>484</v>
      </c>
      <c r="D12" t="s">
        <v>4</v>
      </c>
      <c r="E12">
        <f t="shared" si="0"/>
        <v>1.080403959275504E-4</v>
      </c>
    </row>
    <row r="13" spans="1:8" x14ac:dyDescent="0.45">
      <c r="A13">
        <v>635.53</v>
      </c>
      <c r="B13">
        <v>679.93</v>
      </c>
      <c r="C13">
        <v>629</v>
      </c>
      <c r="D13" t="s">
        <v>4</v>
      </c>
      <c r="E13">
        <f t="shared" si="0"/>
        <v>1.1106987127927513E-4</v>
      </c>
    </row>
    <row r="14" spans="1:8" x14ac:dyDescent="0.45">
      <c r="A14">
        <v>649.99</v>
      </c>
      <c r="B14">
        <v>700</v>
      </c>
      <c r="C14">
        <v>662</v>
      </c>
      <c r="D14" t="s">
        <v>4</v>
      </c>
      <c r="E14">
        <f t="shared" si="0"/>
        <v>1.1622302904125536E-4</v>
      </c>
    </row>
    <row r="15" spans="1:8" x14ac:dyDescent="0.45">
      <c r="A15">
        <v>575.53</v>
      </c>
      <c r="B15">
        <v>617.96</v>
      </c>
      <c r="C15">
        <v>611</v>
      </c>
      <c r="D15" t="s">
        <v>4</v>
      </c>
      <c r="E15">
        <f t="shared" si="0"/>
        <v>1.2066014836449211E-4</v>
      </c>
    </row>
    <row r="16" spans="1:8" x14ac:dyDescent="0.45">
      <c r="A16">
        <v>589.88</v>
      </c>
      <c r="B16">
        <v>633.61</v>
      </c>
      <c r="C16">
        <v>600</v>
      </c>
      <c r="D16" t="s">
        <v>4</v>
      </c>
      <c r="E16">
        <f t="shared" si="0"/>
        <v>1.2355620352162014E-4</v>
      </c>
    </row>
    <row r="17" spans="1:5" x14ac:dyDescent="0.45">
      <c r="A17">
        <v>510.92</v>
      </c>
      <c r="B17">
        <v>547.09</v>
      </c>
      <c r="C17">
        <v>564</v>
      </c>
      <c r="D17" t="s">
        <v>4</v>
      </c>
      <c r="E17">
        <f t="shared" si="0"/>
        <v>1.2552103200845301E-4</v>
      </c>
    </row>
    <row r="18" spans="1:5" x14ac:dyDescent="0.45">
      <c r="A18">
        <v>510.92</v>
      </c>
      <c r="B18">
        <v>547</v>
      </c>
      <c r="C18">
        <v>545</v>
      </c>
      <c r="D18" t="s">
        <v>4</v>
      </c>
      <c r="E18">
        <f t="shared" si="0"/>
        <v>1.2957377840441814E-4</v>
      </c>
    </row>
    <row r="19" spans="1:5" x14ac:dyDescent="0.45">
      <c r="A19">
        <v>639.70000000000005</v>
      </c>
      <c r="B19">
        <v>700</v>
      </c>
      <c r="C19">
        <v>686</v>
      </c>
      <c r="D19" t="s">
        <v>4</v>
      </c>
      <c r="E19">
        <f t="shared" si="0"/>
        <v>1.3740952733401357E-4</v>
      </c>
    </row>
    <row r="20" spans="1:5" x14ac:dyDescent="0.45">
      <c r="A20">
        <v>643.13</v>
      </c>
      <c r="B20">
        <v>700</v>
      </c>
      <c r="C20">
        <v>593</v>
      </c>
      <c r="D20" t="s">
        <v>4</v>
      </c>
      <c r="E20">
        <f t="shared" si="0"/>
        <v>1.4911789567091104E-4</v>
      </c>
    </row>
    <row r="21" spans="1:5" x14ac:dyDescent="0.45">
      <c r="A21">
        <v>632.28</v>
      </c>
      <c r="B21">
        <v>684.82</v>
      </c>
      <c r="C21">
        <v>512</v>
      </c>
      <c r="D21" t="s">
        <v>4</v>
      </c>
      <c r="E21">
        <f t="shared" si="0"/>
        <v>1.622970638008479E-4</v>
      </c>
    </row>
    <row r="22" spans="1:5" x14ac:dyDescent="0.45">
      <c r="A22">
        <v>416.2</v>
      </c>
      <c r="B22">
        <v>445.51</v>
      </c>
      <c r="C22">
        <v>366</v>
      </c>
      <c r="D22" t="s">
        <v>4</v>
      </c>
      <c r="E22">
        <f t="shared" si="0"/>
        <v>1.9241222300123682E-4</v>
      </c>
    </row>
    <row r="23" spans="1:5" x14ac:dyDescent="0.45">
      <c r="A23">
        <v>624.58000000000004</v>
      </c>
      <c r="B23">
        <v>700</v>
      </c>
      <c r="C23">
        <v>585</v>
      </c>
      <c r="D23" t="s">
        <v>4</v>
      </c>
      <c r="E23">
        <f t="shared" si="0"/>
        <v>2.0641563438322845E-4</v>
      </c>
    </row>
    <row r="24" spans="1:5" x14ac:dyDescent="0.45">
      <c r="A24">
        <v>562.08000000000004</v>
      </c>
      <c r="B24">
        <v>636.96</v>
      </c>
      <c r="C24">
        <v>605</v>
      </c>
      <c r="D24" t="s">
        <v>4</v>
      </c>
      <c r="E24">
        <f t="shared" si="0"/>
        <v>2.2019747196363909E-4</v>
      </c>
    </row>
    <row r="25" spans="1:5" x14ac:dyDescent="0.45">
      <c r="A25">
        <v>618.46</v>
      </c>
      <c r="B25">
        <v>700</v>
      </c>
      <c r="C25">
        <v>594</v>
      </c>
      <c r="D25" t="s">
        <v>4</v>
      </c>
      <c r="E25">
        <f t="shared" si="0"/>
        <v>2.2195894200550915E-4</v>
      </c>
    </row>
    <row r="26" spans="1:5" x14ac:dyDescent="0.45">
      <c r="A26">
        <v>445.6</v>
      </c>
      <c r="B26">
        <v>489.79</v>
      </c>
      <c r="C26">
        <v>439</v>
      </c>
      <c r="D26" t="s">
        <v>4</v>
      </c>
      <c r="E26">
        <f t="shared" si="0"/>
        <v>2.2589899518654668E-4</v>
      </c>
    </row>
    <row r="27" spans="1:5" x14ac:dyDescent="0.45">
      <c r="A27">
        <v>610.09</v>
      </c>
      <c r="B27">
        <v>695.05</v>
      </c>
      <c r="C27">
        <v>615</v>
      </c>
      <c r="D27" t="s">
        <v>4</v>
      </c>
      <c r="E27">
        <f t="shared" si="0"/>
        <v>2.2643600364440425E-4</v>
      </c>
    </row>
    <row r="28" spans="1:5" x14ac:dyDescent="0.45">
      <c r="A28">
        <v>496.94</v>
      </c>
      <c r="B28">
        <v>551.86</v>
      </c>
      <c r="C28">
        <v>459</v>
      </c>
      <c r="D28" t="s">
        <v>4</v>
      </c>
      <c r="E28">
        <f t="shared" si="0"/>
        <v>2.4077638371232835E-4</v>
      </c>
    </row>
    <row r="29" spans="1:5" x14ac:dyDescent="0.45">
      <c r="A29">
        <v>300.04000000000002</v>
      </c>
      <c r="B29">
        <v>321.7</v>
      </c>
      <c r="C29">
        <v>287</v>
      </c>
      <c r="D29" t="s">
        <v>4</v>
      </c>
      <c r="E29">
        <f t="shared" si="0"/>
        <v>2.5153440633002657E-4</v>
      </c>
    </row>
    <row r="30" spans="1:5" x14ac:dyDescent="0.45">
      <c r="A30">
        <v>476.37</v>
      </c>
      <c r="B30">
        <v>530.28</v>
      </c>
      <c r="C30">
        <v>431</v>
      </c>
      <c r="D30" t="s">
        <v>4</v>
      </c>
      <c r="E30">
        <f t="shared" si="0"/>
        <v>2.6257154417053916E-4</v>
      </c>
    </row>
    <row r="31" spans="1:5" x14ac:dyDescent="0.45">
      <c r="A31">
        <v>355.83</v>
      </c>
      <c r="B31">
        <v>387.17</v>
      </c>
      <c r="C31">
        <v>332</v>
      </c>
      <c r="D31" t="s">
        <v>4</v>
      </c>
      <c r="E31">
        <f t="shared" si="0"/>
        <v>2.6528845336662411E-4</v>
      </c>
    </row>
    <row r="32" spans="1:5" x14ac:dyDescent="0.45">
      <c r="A32">
        <v>583.47</v>
      </c>
      <c r="B32">
        <v>672.66</v>
      </c>
      <c r="C32">
        <v>553</v>
      </c>
      <c r="D32" t="s">
        <v>4</v>
      </c>
      <c r="E32">
        <f t="shared" si="0"/>
        <v>2.7642193423389413E-4</v>
      </c>
    </row>
    <row r="33" spans="1:5" x14ac:dyDescent="0.45">
      <c r="A33">
        <v>539.19000000000005</v>
      </c>
      <c r="B33">
        <v>625.54</v>
      </c>
      <c r="C33">
        <v>577</v>
      </c>
      <c r="D33" t="s">
        <v>4</v>
      </c>
      <c r="E33">
        <f t="shared" si="0"/>
        <v>2.7755221637900057E-4</v>
      </c>
    </row>
    <row r="34" spans="1:5" x14ac:dyDescent="0.45">
      <c r="A34">
        <v>575.24</v>
      </c>
      <c r="B34">
        <v>666.46</v>
      </c>
      <c r="C34">
        <v>567</v>
      </c>
      <c r="D34" t="s">
        <v>4</v>
      </c>
      <c r="E34">
        <f t="shared" ref="E34:E65" si="1">((B34/A34)-1)/C34</f>
        <v>2.7967775922252896E-4</v>
      </c>
    </row>
    <row r="35" spans="1:5" x14ac:dyDescent="0.45">
      <c r="A35">
        <v>307.44</v>
      </c>
      <c r="B35">
        <v>341.19</v>
      </c>
      <c r="C35">
        <v>383</v>
      </c>
      <c r="D35" t="s">
        <v>4</v>
      </c>
      <c r="E35">
        <f t="shared" si="1"/>
        <v>2.8662537223081696E-4</v>
      </c>
    </row>
    <row r="36" spans="1:5" x14ac:dyDescent="0.45">
      <c r="A36">
        <v>412.14</v>
      </c>
      <c r="B36">
        <v>457.93</v>
      </c>
      <c r="C36">
        <v>363</v>
      </c>
      <c r="D36" t="s">
        <v>4</v>
      </c>
      <c r="E36">
        <f t="shared" si="1"/>
        <v>3.0606893455793028E-4</v>
      </c>
    </row>
    <row r="37" spans="1:5" x14ac:dyDescent="0.45">
      <c r="A37">
        <v>506.91</v>
      </c>
      <c r="B37">
        <v>591.12</v>
      </c>
      <c r="C37">
        <v>483</v>
      </c>
      <c r="D37" t="s">
        <v>4</v>
      </c>
      <c r="E37">
        <f t="shared" si="1"/>
        <v>3.4394236863931761E-4</v>
      </c>
    </row>
    <row r="38" spans="1:5" x14ac:dyDescent="0.45">
      <c r="A38">
        <v>460.26</v>
      </c>
      <c r="B38">
        <v>540.91</v>
      </c>
      <c r="C38">
        <v>487</v>
      </c>
      <c r="D38" t="s">
        <v>4</v>
      </c>
      <c r="E38">
        <f t="shared" si="1"/>
        <v>3.5980912850704609E-4</v>
      </c>
    </row>
    <row r="39" spans="1:5" x14ac:dyDescent="0.45">
      <c r="A39">
        <v>422.52</v>
      </c>
      <c r="B39">
        <v>495.49</v>
      </c>
      <c r="C39">
        <v>477</v>
      </c>
      <c r="D39" t="s">
        <v>4</v>
      </c>
      <c r="E39">
        <f t="shared" si="1"/>
        <v>3.6205845688572008E-4</v>
      </c>
    </row>
    <row r="40" spans="1:5" x14ac:dyDescent="0.45">
      <c r="A40">
        <v>557.9</v>
      </c>
      <c r="B40">
        <v>667.76</v>
      </c>
      <c r="C40">
        <v>530</v>
      </c>
      <c r="D40" t="s">
        <v>4</v>
      </c>
      <c r="E40">
        <f t="shared" si="1"/>
        <v>3.7154152871110319E-4</v>
      </c>
    </row>
    <row r="41" spans="1:5" x14ac:dyDescent="0.45">
      <c r="A41">
        <v>241.64</v>
      </c>
      <c r="B41">
        <v>265.72000000000003</v>
      </c>
      <c r="C41">
        <v>264</v>
      </c>
      <c r="D41" t="s">
        <v>4</v>
      </c>
      <c r="E41">
        <f t="shared" si="1"/>
        <v>3.7747111907019272E-4</v>
      </c>
    </row>
    <row r="42" spans="1:5" x14ac:dyDescent="0.45">
      <c r="A42">
        <v>468.2</v>
      </c>
      <c r="B42">
        <v>560.79999999999995</v>
      </c>
      <c r="C42">
        <v>484</v>
      </c>
      <c r="D42" t="s">
        <v>4</v>
      </c>
      <c r="E42">
        <f t="shared" si="1"/>
        <v>4.0863373355315424E-4</v>
      </c>
    </row>
    <row r="43" spans="1:5" x14ac:dyDescent="0.45">
      <c r="A43">
        <v>366.59</v>
      </c>
      <c r="B43">
        <v>420.69</v>
      </c>
      <c r="C43">
        <v>359</v>
      </c>
      <c r="D43" t="s">
        <v>4</v>
      </c>
      <c r="E43">
        <f t="shared" si="1"/>
        <v>4.110760763525563E-4</v>
      </c>
    </row>
    <row r="44" spans="1:5" x14ac:dyDescent="0.45">
      <c r="A44">
        <v>267.52999999999997</v>
      </c>
      <c r="B44">
        <v>296.56</v>
      </c>
      <c r="C44">
        <v>262</v>
      </c>
      <c r="D44" t="s">
        <v>4</v>
      </c>
      <c r="E44">
        <f t="shared" si="1"/>
        <v>4.1416486643575454E-4</v>
      </c>
    </row>
    <row r="45" spans="1:5" x14ac:dyDescent="0.45">
      <c r="A45">
        <v>419.19</v>
      </c>
      <c r="B45">
        <v>502.5</v>
      </c>
      <c r="C45">
        <v>474</v>
      </c>
      <c r="D45" t="s">
        <v>4</v>
      </c>
      <c r="E45">
        <f t="shared" si="1"/>
        <v>4.1928360330849014E-4</v>
      </c>
    </row>
    <row r="46" spans="1:5" x14ac:dyDescent="0.45">
      <c r="A46">
        <v>474.78</v>
      </c>
      <c r="B46">
        <v>572.77</v>
      </c>
      <c r="C46">
        <v>480</v>
      </c>
      <c r="D46" t="s">
        <v>4</v>
      </c>
      <c r="E46">
        <f t="shared" si="1"/>
        <v>4.2997985031663816E-4</v>
      </c>
    </row>
    <row r="47" spans="1:5" x14ac:dyDescent="0.45">
      <c r="A47">
        <v>502.06</v>
      </c>
      <c r="B47">
        <v>611.77</v>
      </c>
      <c r="C47">
        <v>502</v>
      </c>
      <c r="D47" t="s">
        <v>5</v>
      </c>
      <c r="E47">
        <f t="shared" si="1"/>
        <v>4.3529820486210366E-4</v>
      </c>
    </row>
    <row r="48" spans="1:5" x14ac:dyDescent="0.45">
      <c r="A48">
        <v>302.17</v>
      </c>
      <c r="B48">
        <v>344.82</v>
      </c>
      <c r="C48">
        <v>310</v>
      </c>
      <c r="D48" t="s">
        <v>4</v>
      </c>
      <c r="E48">
        <f t="shared" si="1"/>
        <v>4.5530875057514053E-4</v>
      </c>
    </row>
    <row r="49" spans="1:5" x14ac:dyDescent="0.45">
      <c r="A49">
        <v>305.64</v>
      </c>
      <c r="B49">
        <v>343.08</v>
      </c>
      <c r="C49">
        <v>266</v>
      </c>
      <c r="D49" t="s">
        <v>4</v>
      </c>
      <c r="E49">
        <f t="shared" si="1"/>
        <v>4.6051524571145172E-4</v>
      </c>
    </row>
    <row r="50" spans="1:5" x14ac:dyDescent="0.45">
      <c r="A50">
        <v>399.54</v>
      </c>
      <c r="B50">
        <v>475.06</v>
      </c>
      <c r="C50">
        <v>386</v>
      </c>
      <c r="D50" t="s">
        <v>4</v>
      </c>
      <c r="E50">
        <f t="shared" si="1"/>
        <v>4.8968230563593731E-4</v>
      </c>
    </row>
    <row r="51" spans="1:5" x14ac:dyDescent="0.45">
      <c r="A51">
        <v>492.98</v>
      </c>
      <c r="B51">
        <v>601.69000000000005</v>
      </c>
      <c r="C51">
        <v>447</v>
      </c>
      <c r="D51" t="s">
        <v>5</v>
      </c>
      <c r="E51">
        <f t="shared" si="1"/>
        <v>4.9332448607532545E-4</v>
      </c>
    </row>
    <row r="52" spans="1:5" x14ac:dyDescent="0.45">
      <c r="A52">
        <v>416.62</v>
      </c>
      <c r="B52">
        <v>502.61</v>
      </c>
      <c r="C52">
        <v>398</v>
      </c>
      <c r="D52" t="s">
        <v>4</v>
      </c>
      <c r="E52">
        <f t="shared" si="1"/>
        <v>5.1859074548007685E-4</v>
      </c>
    </row>
    <row r="53" spans="1:5" x14ac:dyDescent="0.45">
      <c r="A53">
        <v>364</v>
      </c>
      <c r="B53">
        <v>422.68</v>
      </c>
      <c r="C53">
        <v>288</v>
      </c>
      <c r="D53" t="s">
        <v>4</v>
      </c>
      <c r="E53">
        <f t="shared" si="1"/>
        <v>5.5975274725274715E-4</v>
      </c>
    </row>
    <row r="54" spans="1:5" x14ac:dyDescent="0.45">
      <c r="A54">
        <v>430.51</v>
      </c>
      <c r="B54">
        <v>540.23</v>
      </c>
      <c r="C54">
        <v>440</v>
      </c>
      <c r="D54" t="s">
        <v>4</v>
      </c>
      <c r="E54">
        <f t="shared" si="1"/>
        <v>5.7922844153129166E-4</v>
      </c>
    </row>
    <row r="55" spans="1:5" x14ac:dyDescent="0.45">
      <c r="A55">
        <v>218.89</v>
      </c>
      <c r="B55">
        <v>257.54000000000002</v>
      </c>
      <c r="C55">
        <v>286</v>
      </c>
      <c r="D55" t="s">
        <v>4</v>
      </c>
      <c r="E55">
        <f t="shared" si="1"/>
        <v>6.1738709004459022E-4</v>
      </c>
    </row>
    <row r="56" spans="1:5" x14ac:dyDescent="0.45">
      <c r="A56">
        <v>414.46</v>
      </c>
      <c r="B56">
        <v>524.5</v>
      </c>
      <c r="C56">
        <v>421</v>
      </c>
      <c r="D56" t="s">
        <v>4</v>
      </c>
      <c r="E56">
        <f t="shared" si="1"/>
        <v>6.3064631619221673E-4</v>
      </c>
    </row>
    <row r="57" spans="1:5" x14ac:dyDescent="0.45">
      <c r="A57">
        <v>379.32</v>
      </c>
      <c r="B57">
        <v>481.04</v>
      </c>
      <c r="C57">
        <v>400</v>
      </c>
      <c r="D57" t="s">
        <v>4</v>
      </c>
      <c r="E57">
        <f t="shared" si="1"/>
        <v>6.7041020774016695E-4</v>
      </c>
    </row>
    <row r="58" spans="1:5" x14ac:dyDescent="0.45">
      <c r="A58">
        <v>266.13</v>
      </c>
      <c r="B58">
        <v>318.20999999999998</v>
      </c>
      <c r="C58">
        <v>288</v>
      </c>
      <c r="D58" t="s">
        <v>4</v>
      </c>
      <c r="E58">
        <f t="shared" si="1"/>
        <v>6.7949247861320914E-4</v>
      </c>
    </row>
    <row r="59" spans="1:5" x14ac:dyDescent="0.45">
      <c r="A59">
        <v>394.69</v>
      </c>
      <c r="B59">
        <v>502.42</v>
      </c>
      <c r="C59">
        <v>398</v>
      </c>
      <c r="D59" t="s">
        <v>4</v>
      </c>
      <c r="E59">
        <f t="shared" si="1"/>
        <v>6.8579997456180567E-4</v>
      </c>
    </row>
    <row r="60" spans="1:5" x14ac:dyDescent="0.45">
      <c r="A60">
        <v>279.7</v>
      </c>
      <c r="B60">
        <v>364.22</v>
      </c>
      <c r="C60">
        <v>384</v>
      </c>
      <c r="D60" t="s">
        <v>4</v>
      </c>
      <c r="E60">
        <f t="shared" si="1"/>
        <v>7.8692944821832976E-4</v>
      </c>
    </row>
    <row r="61" spans="1:5" x14ac:dyDescent="0.45">
      <c r="A61">
        <v>319.08999999999997</v>
      </c>
      <c r="B61">
        <v>408.18</v>
      </c>
      <c r="C61">
        <v>350</v>
      </c>
      <c r="D61" t="s">
        <v>4</v>
      </c>
      <c r="E61">
        <f t="shared" si="1"/>
        <v>7.9771493040476738E-4</v>
      </c>
    </row>
    <row r="62" spans="1:5" x14ac:dyDescent="0.45">
      <c r="A62">
        <v>299.83999999999997</v>
      </c>
      <c r="B62">
        <v>371.05</v>
      </c>
      <c r="C62">
        <v>286</v>
      </c>
      <c r="D62" t="s">
        <v>4</v>
      </c>
      <c r="E62">
        <f t="shared" si="1"/>
        <v>8.3039625795762429E-4</v>
      </c>
    </row>
    <row r="63" spans="1:5" x14ac:dyDescent="0.45">
      <c r="A63">
        <v>355.5</v>
      </c>
      <c r="B63">
        <v>467.97</v>
      </c>
      <c r="C63">
        <v>350</v>
      </c>
      <c r="D63" t="s">
        <v>4</v>
      </c>
      <c r="E63">
        <f t="shared" si="1"/>
        <v>9.0391802290536497E-4</v>
      </c>
    </row>
    <row r="64" spans="1:5" x14ac:dyDescent="0.45">
      <c r="A64">
        <v>286.74</v>
      </c>
      <c r="B64">
        <v>365.83</v>
      </c>
      <c r="C64">
        <v>303</v>
      </c>
      <c r="D64" t="s">
        <v>4</v>
      </c>
      <c r="E64">
        <f t="shared" si="1"/>
        <v>9.1031283500812941E-4</v>
      </c>
    </row>
    <row r="65" spans="1:5" x14ac:dyDescent="0.45">
      <c r="A65">
        <v>213.56</v>
      </c>
      <c r="B65">
        <v>287.13</v>
      </c>
      <c r="C65">
        <v>354</v>
      </c>
      <c r="D65" t="s">
        <v>4</v>
      </c>
      <c r="E65">
        <f t="shared" si="1"/>
        <v>9.7314505879875473E-4</v>
      </c>
    </row>
    <row r="66" spans="1:5" x14ac:dyDescent="0.45">
      <c r="A66">
        <v>353.14</v>
      </c>
      <c r="B66">
        <v>466.81</v>
      </c>
      <c r="C66">
        <v>329</v>
      </c>
      <c r="D66" t="s">
        <v>4</v>
      </c>
      <c r="E66">
        <f t="shared" ref="E66:E101" si="2">((B66/A66)-1)/C66</f>
        <v>9.7836982431001585E-4</v>
      </c>
    </row>
    <row r="67" spans="1:5" x14ac:dyDescent="0.45">
      <c r="A67">
        <v>307.25</v>
      </c>
      <c r="B67">
        <v>395.01</v>
      </c>
      <c r="C67">
        <v>264</v>
      </c>
      <c r="D67" t="s">
        <v>4</v>
      </c>
      <c r="E67">
        <f t="shared" si="2"/>
        <v>1.0819340681016841E-3</v>
      </c>
    </row>
    <row r="68" spans="1:5" x14ac:dyDescent="0.45">
      <c r="A68">
        <v>187.02</v>
      </c>
      <c r="B68">
        <v>231.22</v>
      </c>
      <c r="C68">
        <v>199</v>
      </c>
      <c r="D68" t="s">
        <v>4</v>
      </c>
      <c r="E68">
        <f t="shared" si="2"/>
        <v>1.1876299474057267E-3</v>
      </c>
    </row>
    <row r="69" spans="1:5" x14ac:dyDescent="0.45">
      <c r="A69">
        <v>204.05</v>
      </c>
      <c r="B69">
        <v>260.83</v>
      </c>
      <c r="C69">
        <v>232</v>
      </c>
      <c r="D69" t="s">
        <v>4</v>
      </c>
      <c r="E69">
        <f t="shared" si="2"/>
        <v>1.1994186685143091E-3</v>
      </c>
    </row>
    <row r="70" spans="1:5" x14ac:dyDescent="0.45">
      <c r="A70">
        <v>272.37</v>
      </c>
      <c r="B70">
        <v>355.6</v>
      </c>
      <c r="C70">
        <v>239</v>
      </c>
      <c r="D70" t="s">
        <v>4</v>
      </c>
      <c r="E70">
        <f t="shared" si="2"/>
        <v>1.2785647384964123E-3</v>
      </c>
    </row>
    <row r="71" spans="1:5" x14ac:dyDescent="0.45">
      <c r="A71">
        <v>165.02</v>
      </c>
      <c r="B71">
        <v>199.51</v>
      </c>
      <c r="C71">
        <v>163</v>
      </c>
      <c r="D71" t="s">
        <v>4</v>
      </c>
      <c r="E71">
        <f t="shared" si="2"/>
        <v>1.2822390742003385E-3</v>
      </c>
    </row>
    <row r="72" spans="1:5" x14ac:dyDescent="0.45">
      <c r="A72">
        <v>190.14</v>
      </c>
      <c r="B72">
        <v>233.9</v>
      </c>
      <c r="C72">
        <v>162</v>
      </c>
      <c r="D72" t="s">
        <v>5</v>
      </c>
      <c r="E72">
        <f t="shared" si="2"/>
        <v>1.4206556052914889E-3</v>
      </c>
    </row>
    <row r="73" spans="1:5" x14ac:dyDescent="0.45">
      <c r="A73">
        <v>232.69</v>
      </c>
      <c r="B73">
        <v>316.05</v>
      </c>
      <c r="C73">
        <v>246</v>
      </c>
      <c r="D73" t="s">
        <v>4</v>
      </c>
      <c r="E73">
        <f t="shared" si="2"/>
        <v>1.4562799803080762E-3</v>
      </c>
    </row>
    <row r="74" spans="1:5" x14ac:dyDescent="0.45">
      <c r="A74">
        <v>112.75</v>
      </c>
      <c r="B74">
        <v>137.9</v>
      </c>
      <c r="C74">
        <v>138</v>
      </c>
      <c r="D74" t="s">
        <v>4</v>
      </c>
      <c r="E74">
        <f t="shared" si="2"/>
        <v>1.6163758475529425E-3</v>
      </c>
    </row>
    <row r="75" spans="1:5" x14ac:dyDescent="0.45">
      <c r="A75">
        <v>223.42</v>
      </c>
      <c r="B75">
        <v>326.95</v>
      </c>
      <c r="C75">
        <v>286</v>
      </c>
      <c r="D75" t="s">
        <v>4</v>
      </c>
      <c r="E75">
        <f t="shared" si="2"/>
        <v>1.6202354623265913E-3</v>
      </c>
    </row>
    <row r="76" spans="1:5" x14ac:dyDescent="0.45">
      <c r="A76">
        <v>100.49</v>
      </c>
      <c r="B76">
        <v>124.18</v>
      </c>
      <c r="C76">
        <v>138</v>
      </c>
      <c r="D76" t="s">
        <v>4</v>
      </c>
      <c r="E76">
        <f t="shared" si="2"/>
        <v>1.708296016187349E-3</v>
      </c>
    </row>
    <row r="77" spans="1:5" x14ac:dyDescent="0.45">
      <c r="A77">
        <v>150.72</v>
      </c>
      <c r="B77">
        <v>194.68</v>
      </c>
      <c r="C77">
        <v>159</v>
      </c>
      <c r="D77" t="s">
        <v>4</v>
      </c>
      <c r="E77" s="1">
        <f t="shared" si="2"/>
        <v>1.834381551362684E-3</v>
      </c>
    </row>
    <row r="78" spans="1:5" x14ac:dyDescent="0.45">
      <c r="A78">
        <v>207.57</v>
      </c>
      <c r="B78">
        <v>303.74</v>
      </c>
      <c r="C78">
        <v>228</v>
      </c>
      <c r="D78" t="s">
        <v>5</v>
      </c>
      <c r="E78" s="1">
        <f t="shared" si="2"/>
        <v>2.032077109476491E-3</v>
      </c>
    </row>
    <row r="79" spans="1:5" x14ac:dyDescent="0.45">
      <c r="A79">
        <v>162.44</v>
      </c>
      <c r="B79">
        <v>249.65</v>
      </c>
      <c r="C79">
        <v>221</v>
      </c>
      <c r="D79" t="s">
        <v>4</v>
      </c>
      <c r="E79">
        <f t="shared" si="2"/>
        <v>2.42929933892751E-3</v>
      </c>
    </row>
    <row r="80" spans="1:5" x14ac:dyDescent="0.45">
      <c r="A80">
        <v>204.83</v>
      </c>
      <c r="B80">
        <v>297.64999999999998</v>
      </c>
      <c r="C80">
        <v>182</v>
      </c>
      <c r="D80" t="s">
        <v>4</v>
      </c>
      <c r="E80">
        <f t="shared" si="2"/>
        <v>2.4898696480007807E-3</v>
      </c>
    </row>
    <row r="81" spans="1:5" x14ac:dyDescent="0.45">
      <c r="A81">
        <v>107.12</v>
      </c>
      <c r="B81">
        <v>154.97999999999999</v>
      </c>
      <c r="C81">
        <v>152</v>
      </c>
      <c r="D81" t="s">
        <v>4</v>
      </c>
      <c r="E81">
        <f t="shared" si="2"/>
        <v>2.9393990016115708E-3</v>
      </c>
    </row>
    <row r="82" spans="1:5" x14ac:dyDescent="0.45">
      <c r="A82">
        <v>134.68</v>
      </c>
      <c r="B82">
        <v>203.63</v>
      </c>
      <c r="C82">
        <v>134</v>
      </c>
      <c r="D82" t="s">
        <v>5</v>
      </c>
      <c r="E82">
        <f t="shared" si="2"/>
        <v>3.8205541936885213E-3</v>
      </c>
    </row>
    <row r="83" spans="1:5" x14ac:dyDescent="0.45">
      <c r="A83">
        <v>163.66</v>
      </c>
      <c r="B83">
        <v>282.23</v>
      </c>
      <c r="C83">
        <v>186</v>
      </c>
      <c r="D83" t="s">
        <v>4</v>
      </c>
      <c r="E83">
        <f t="shared" si="2"/>
        <v>3.8951064296686429E-3</v>
      </c>
    </row>
    <row r="84" spans="1:5" x14ac:dyDescent="0.45">
      <c r="A84">
        <v>186.04</v>
      </c>
      <c r="B84">
        <v>296.86</v>
      </c>
      <c r="C84">
        <v>120</v>
      </c>
      <c r="D84" t="s">
        <v>5</v>
      </c>
      <c r="E84">
        <f t="shared" si="2"/>
        <v>4.9639862395183844E-3</v>
      </c>
    </row>
    <row r="85" spans="1:5" x14ac:dyDescent="0.45">
      <c r="A85">
        <v>136.34</v>
      </c>
      <c r="B85">
        <v>206.61</v>
      </c>
      <c r="C85">
        <v>89</v>
      </c>
      <c r="D85" t="s">
        <v>4</v>
      </c>
      <c r="E85">
        <f t="shared" si="2"/>
        <v>5.7910412336640233E-3</v>
      </c>
    </row>
    <row r="86" spans="1:5" x14ac:dyDescent="0.45">
      <c r="A86">
        <v>96.19</v>
      </c>
      <c r="B86">
        <v>177.15</v>
      </c>
      <c r="C86">
        <v>125</v>
      </c>
      <c r="D86" t="s">
        <v>5</v>
      </c>
      <c r="E86">
        <f t="shared" si="2"/>
        <v>6.7333402640607151E-3</v>
      </c>
    </row>
    <row r="87" spans="1:5" x14ac:dyDescent="0.45">
      <c r="A87">
        <v>68.98</v>
      </c>
      <c r="B87">
        <v>122.75</v>
      </c>
      <c r="C87">
        <v>110</v>
      </c>
      <c r="D87" t="s">
        <v>5</v>
      </c>
      <c r="E87">
        <f t="shared" si="2"/>
        <v>7.0863754975091595E-3</v>
      </c>
    </row>
    <row r="88" spans="1:5" x14ac:dyDescent="0.45">
      <c r="A88">
        <v>75.02</v>
      </c>
      <c r="B88">
        <v>120.2</v>
      </c>
      <c r="C88">
        <v>82</v>
      </c>
      <c r="D88" t="s">
        <v>5</v>
      </c>
      <c r="E88">
        <f t="shared" si="2"/>
        <v>7.3443829612916253E-3</v>
      </c>
    </row>
    <row r="89" spans="1:5" x14ac:dyDescent="0.45">
      <c r="A89">
        <v>64.45</v>
      </c>
      <c r="B89">
        <v>112.94</v>
      </c>
      <c r="C89">
        <v>92</v>
      </c>
      <c r="D89" t="s">
        <v>5</v>
      </c>
      <c r="E89">
        <f t="shared" si="2"/>
        <v>8.1778932101055739E-3</v>
      </c>
    </row>
    <row r="90" spans="1:5" x14ac:dyDescent="0.45">
      <c r="A90">
        <v>99.69</v>
      </c>
      <c r="B90">
        <v>169.41</v>
      </c>
      <c r="C90">
        <v>66</v>
      </c>
      <c r="D90" t="s">
        <v>5</v>
      </c>
      <c r="E90">
        <f t="shared" si="2"/>
        <v>1.0596485468588988E-2</v>
      </c>
    </row>
    <row r="91" spans="1:5" x14ac:dyDescent="0.45">
      <c r="A91">
        <v>86.29</v>
      </c>
      <c r="B91">
        <v>203.47</v>
      </c>
      <c r="C91">
        <v>91</v>
      </c>
      <c r="D91" t="s">
        <v>5</v>
      </c>
      <c r="E91">
        <f t="shared" si="2"/>
        <v>1.4922845146509531E-2</v>
      </c>
    </row>
    <row r="92" spans="1:5" x14ac:dyDescent="0.45">
      <c r="A92">
        <v>77.97</v>
      </c>
      <c r="B92">
        <v>168.28</v>
      </c>
      <c r="C92">
        <v>70</v>
      </c>
      <c r="D92" t="s">
        <v>5</v>
      </c>
      <c r="E92">
        <f t="shared" si="2"/>
        <v>1.6546657139192733E-2</v>
      </c>
    </row>
    <row r="93" spans="1:5" x14ac:dyDescent="0.45">
      <c r="A93">
        <v>52.77</v>
      </c>
      <c r="B93">
        <v>102.86</v>
      </c>
      <c r="C93">
        <v>53</v>
      </c>
      <c r="D93" t="s">
        <v>4</v>
      </c>
      <c r="E93">
        <f t="shared" si="2"/>
        <v>1.7909689968213786E-2</v>
      </c>
    </row>
    <row r="94" spans="1:5" x14ac:dyDescent="0.45">
      <c r="A94">
        <v>54.02</v>
      </c>
      <c r="B94">
        <v>110.38</v>
      </c>
      <c r="C94">
        <v>56</v>
      </c>
      <c r="D94" t="s">
        <v>5</v>
      </c>
      <c r="E94">
        <f t="shared" si="2"/>
        <v>1.8630665890939861E-2</v>
      </c>
    </row>
    <row r="95" spans="1:5" x14ac:dyDescent="0.45">
      <c r="A95">
        <v>68.11</v>
      </c>
      <c r="B95">
        <v>184.36</v>
      </c>
      <c r="C95">
        <v>91</v>
      </c>
      <c r="D95" t="s">
        <v>5</v>
      </c>
      <c r="E95">
        <f t="shared" si="2"/>
        <v>1.8756020077411947E-2</v>
      </c>
    </row>
    <row r="96" spans="1:5" x14ac:dyDescent="0.45">
      <c r="A96">
        <v>91.3</v>
      </c>
      <c r="B96">
        <v>163.18</v>
      </c>
      <c r="C96">
        <v>17</v>
      </c>
      <c r="D96" t="s">
        <v>5</v>
      </c>
      <c r="E96">
        <f t="shared" si="2"/>
        <v>4.6311449004574456E-2</v>
      </c>
    </row>
    <row r="97" spans="1:5" x14ac:dyDescent="0.45">
      <c r="A97">
        <v>13.51</v>
      </c>
      <c r="B97">
        <v>55.72</v>
      </c>
      <c r="C97">
        <v>58</v>
      </c>
      <c r="D97" t="s">
        <v>5</v>
      </c>
      <c r="E97">
        <f t="shared" si="2"/>
        <v>5.3868143648383056E-2</v>
      </c>
    </row>
    <row r="98" spans="1:5" x14ac:dyDescent="0.45">
      <c r="A98">
        <v>40.130000000000003</v>
      </c>
      <c r="B98">
        <v>72.12</v>
      </c>
      <c r="C98">
        <v>13</v>
      </c>
      <c r="D98" t="s">
        <v>5</v>
      </c>
      <c r="E98">
        <f t="shared" si="2"/>
        <v>6.1319940961107169E-2</v>
      </c>
    </row>
    <row r="99" spans="1:5" x14ac:dyDescent="0.45">
      <c r="A99">
        <v>32.020000000000003</v>
      </c>
      <c r="B99">
        <v>146.32</v>
      </c>
      <c r="C99">
        <v>54</v>
      </c>
      <c r="D99" t="s">
        <v>5</v>
      </c>
      <c r="E99">
        <f t="shared" si="2"/>
        <v>6.610451800957734E-2</v>
      </c>
    </row>
    <row r="100" spans="1:5" x14ac:dyDescent="0.45">
      <c r="A100">
        <v>39</v>
      </c>
      <c r="B100">
        <v>91.32</v>
      </c>
      <c r="C100">
        <v>16</v>
      </c>
      <c r="D100" t="s">
        <v>5</v>
      </c>
      <c r="E100">
        <f t="shared" si="2"/>
        <v>8.3846153846153848E-2</v>
      </c>
    </row>
    <row r="101" spans="1:5" x14ac:dyDescent="0.45">
      <c r="A101">
        <v>22.42</v>
      </c>
      <c r="B101">
        <v>84.16</v>
      </c>
      <c r="C101">
        <v>7</v>
      </c>
      <c r="D101" t="s">
        <v>5</v>
      </c>
      <c r="E101">
        <f t="shared" si="2"/>
        <v>0.39339875111507577</v>
      </c>
    </row>
  </sheetData>
  <sortState xmlns:xlrd2="http://schemas.microsoft.com/office/spreadsheetml/2017/richdata2" ref="A2:E103">
    <sortCondition ref="E1:E1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814B-84A4-4CE1-AAEF-9CECD3FD1682}">
  <dimension ref="A1:H101"/>
  <sheetViews>
    <sheetView workbookViewId="0">
      <selection activeCell="H4" sqref="H4"/>
    </sheetView>
  </sheetViews>
  <sheetFormatPr defaultRowHeight="14.25" x14ac:dyDescent="0.45"/>
  <cols>
    <col min="4" max="4" width="15.464843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8" x14ac:dyDescent="0.45">
      <c r="A2">
        <v>694.14</v>
      </c>
      <c r="B2">
        <v>700</v>
      </c>
      <c r="C2">
        <v>714</v>
      </c>
      <c r="D2" t="s">
        <v>4</v>
      </c>
      <c r="E2">
        <f t="shared" ref="E2:E33" si="0">((B2/A2)-1/C2)</f>
        <v>1.0070415407929962</v>
      </c>
    </row>
    <row r="3" spans="1:8" x14ac:dyDescent="0.45">
      <c r="A3">
        <v>693.16</v>
      </c>
      <c r="B3">
        <v>700</v>
      </c>
      <c r="C3">
        <v>664</v>
      </c>
      <c r="D3" t="s">
        <v>4</v>
      </c>
      <c r="E3">
        <f t="shared" si="0"/>
        <v>1.0083618274818937</v>
      </c>
      <c r="G3" t="s">
        <v>8</v>
      </c>
      <c r="H3">
        <f>GEOMEAN(E85:E86)</f>
        <v>1.6364531324067166</v>
      </c>
    </row>
    <row r="4" spans="1:8" x14ac:dyDescent="0.45">
      <c r="A4">
        <v>692.59</v>
      </c>
      <c r="B4">
        <v>700</v>
      </c>
      <c r="C4">
        <v>686</v>
      </c>
      <c r="D4" t="s">
        <v>4</v>
      </c>
      <c r="E4">
        <f t="shared" si="0"/>
        <v>1.0092412445833838</v>
      </c>
    </row>
    <row r="5" spans="1:8" x14ac:dyDescent="0.45">
      <c r="A5">
        <v>686.49</v>
      </c>
      <c r="B5">
        <v>700</v>
      </c>
      <c r="C5">
        <v>714</v>
      </c>
      <c r="D5" t="s">
        <v>5</v>
      </c>
      <c r="E5">
        <f t="shared" si="0"/>
        <v>1.0182792603122619</v>
      </c>
    </row>
    <row r="6" spans="1:8" x14ac:dyDescent="0.45">
      <c r="A6">
        <v>555.92999999999995</v>
      </c>
      <c r="B6">
        <v>576.44000000000005</v>
      </c>
      <c r="C6">
        <v>507</v>
      </c>
      <c r="D6" t="s">
        <v>4</v>
      </c>
      <c r="E6">
        <f t="shared" si="0"/>
        <v>1.0349207474398943</v>
      </c>
    </row>
    <row r="7" spans="1:8" x14ac:dyDescent="0.45">
      <c r="A7">
        <v>553.27</v>
      </c>
      <c r="B7">
        <v>574.19000000000005</v>
      </c>
      <c r="C7">
        <v>560</v>
      </c>
      <c r="D7" t="s">
        <v>4</v>
      </c>
      <c r="E7">
        <f t="shared" si="0"/>
        <v>1.0360258424587325</v>
      </c>
    </row>
    <row r="8" spans="1:8" x14ac:dyDescent="0.45">
      <c r="A8">
        <v>633.66</v>
      </c>
      <c r="B8">
        <v>663.03</v>
      </c>
      <c r="C8">
        <v>638</v>
      </c>
      <c r="D8" t="s">
        <v>4</v>
      </c>
      <c r="E8">
        <f t="shared" si="0"/>
        <v>1.0447823793640707</v>
      </c>
    </row>
    <row r="9" spans="1:8" x14ac:dyDescent="0.45">
      <c r="A9">
        <v>668.46</v>
      </c>
      <c r="B9">
        <v>700</v>
      </c>
      <c r="C9">
        <v>601</v>
      </c>
      <c r="D9" t="s">
        <v>4</v>
      </c>
      <c r="E9">
        <f t="shared" si="0"/>
        <v>1.0455191840106519</v>
      </c>
    </row>
    <row r="10" spans="1:8" x14ac:dyDescent="0.45">
      <c r="A10">
        <v>543.29999999999995</v>
      </c>
      <c r="B10">
        <v>571.71</v>
      </c>
      <c r="C10">
        <v>484</v>
      </c>
      <c r="D10" t="s">
        <v>4</v>
      </c>
      <c r="E10">
        <f t="shared" si="0"/>
        <v>1.0502254359264551</v>
      </c>
    </row>
    <row r="11" spans="1:8" x14ac:dyDescent="0.45">
      <c r="A11">
        <v>541.87</v>
      </c>
      <c r="B11">
        <v>572.02</v>
      </c>
      <c r="C11">
        <v>603</v>
      </c>
      <c r="D11" t="s">
        <v>4</v>
      </c>
      <c r="E11">
        <f t="shared" si="0"/>
        <v>1.0539822770241531</v>
      </c>
    </row>
    <row r="12" spans="1:8" x14ac:dyDescent="0.45">
      <c r="A12">
        <v>655.35</v>
      </c>
      <c r="B12">
        <v>700</v>
      </c>
      <c r="C12">
        <v>708</v>
      </c>
      <c r="D12" t="s">
        <v>4</v>
      </c>
      <c r="E12">
        <f t="shared" si="0"/>
        <v>1.0667191033902184</v>
      </c>
    </row>
    <row r="13" spans="1:8" x14ac:dyDescent="0.45">
      <c r="A13">
        <v>416.2</v>
      </c>
      <c r="B13">
        <v>445.51</v>
      </c>
      <c r="C13">
        <v>366</v>
      </c>
      <c r="D13" t="s">
        <v>4</v>
      </c>
      <c r="E13">
        <f t="shared" si="0"/>
        <v>1.0676906331812943</v>
      </c>
    </row>
    <row r="14" spans="1:8" x14ac:dyDescent="0.45">
      <c r="A14">
        <v>635.53</v>
      </c>
      <c r="B14">
        <v>679.93</v>
      </c>
      <c r="C14">
        <v>629</v>
      </c>
      <c r="D14" t="s">
        <v>4</v>
      </c>
      <c r="E14">
        <f t="shared" si="0"/>
        <v>1.0682731239154273</v>
      </c>
    </row>
    <row r="15" spans="1:8" x14ac:dyDescent="0.45">
      <c r="A15">
        <v>300.04000000000002</v>
      </c>
      <c r="B15">
        <v>321.7</v>
      </c>
      <c r="C15">
        <v>287</v>
      </c>
      <c r="D15" t="s">
        <v>4</v>
      </c>
      <c r="E15">
        <f t="shared" si="0"/>
        <v>1.0687060540592264</v>
      </c>
    </row>
    <row r="16" spans="1:8" x14ac:dyDescent="0.45">
      <c r="A16">
        <v>510.92</v>
      </c>
      <c r="B16">
        <v>547</v>
      </c>
      <c r="C16">
        <v>545</v>
      </c>
      <c r="D16" t="s">
        <v>4</v>
      </c>
      <c r="E16">
        <f t="shared" si="0"/>
        <v>1.0687828468450868</v>
      </c>
    </row>
    <row r="17" spans="1:5" x14ac:dyDescent="0.45">
      <c r="A17">
        <v>510.92</v>
      </c>
      <c r="B17">
        <v>547.09</v>
      </c>
      <c r="C17">
        <v>564</v>
      </c>
      <c r="D17" t="s">
        <v>4</v>
      </c>
      <c r="E17">
        <f t="shared" si="0"/>
        <v>1.0690208124073775</v>
      </c>
    </row>
    <row r="18" spans="1:5" x14ac:dyDescent="0.45">
      <c r="A18">
        <v>575.53</v>
      </c>
      <c r="B18">
        <v>617.96</v>
      </c>
      <c r="C18">
        <v>611</v>
      </c>
      <c r="D18" t="s">
        <v>4</v>
      </c>
      <c r="E18">
        <f t="shared" si="0"/>
        <v>1.0720866894395753</v>
      </c>
    </row>
    <row r="19" spans="1:5" x14ac:dyDescent="0.45">
      <c r="A19">
        <v>589.88</v>
      </c>
      <c r="B19">
        <v>633.61</v>
      </c>
      <c r="C19">
        <v>600</v>
      </c>
      <c r="D19" t="s">
        <v>4</v>
      </c>
      <c r="E19">
        <f t="shared" si="0"/>
        <v>1.0724670554463054</v>
      </c>
    </row>
    <row r="20" spans="1:5" x14ac:dyDescent="0.45">
      <c r="A20">
        <v>649.99</v>
      </c>
      <c r="B20">
        <v>700</v>
      </c>
      <c r="C20">
        <v>662</v>
      </c>
      <c r="D20" t="s">
        <v>4</v>
      </c>
      <c r="E20">
        <f t="shared" si="0"/>
        <v>1.0754290712071841</v>
      </c>
    </row>
    <row r="21" spans="1:5" x14ac:dyDescent="0.45">
      <c r="A21">
        <v>632.28</v>
      </c>
      <c r="B21">
        <v>684.82</v>
      </c>
      <c r="C21">
        <v>512</v>
      </c>
      <c r="D21" t="s">
        <v>4</v>
      </c>
      <c r="E21">
        <f t="shared" si="0"/>
        <v>1.0811429716660341</v>
      </c>
    </row>
    <row r="22" spans="1:5" x14ac:dyDescent="0.45">
      <c r="A22">
        <v>355.83</v>
      </c>
      <c r="B22">
        <v>387.17</v>
      </c>
      <c r="C22">
        <v>332</v>
      </c>
      <c r="D22" t="s">
        <v>4</v>
      </c>
      <c r="E22">
        <f t="shared" si="0"/>
        <v>1.0850637183249481</v>
      </c>
    </row>
    <row r="23" spans="1:5" x14ac:dyDescent="0.45">
      <c r="A23">
        <v>643.13</v>
      </c>
      <c r="B23">
        <v>700</v>
      </c>
      <c r="C23">
        <v>593</v>
      </c>
      <c r="D23" t="s">
        <v>4</v>
      </c>
      <c r="E23">
        <f t="shared" si="0"/>
        <v>1.0867405714920408</v>
      </c>
    </row>
    <row r="24" spans="1:5" x14ac:dyDescent="0.45">
      <c r="A24">
        <v>639.70000000000005</v>
      </c>
      <c r="B24">
        <v>700</v>
      </c>
      <c r="C24">
        <v>686</v>
      </c>
      <c r="D24" t="s">
        <v>4</v>
      </c>
      <c r="E24">
        <f t="shared" si="0"/>
        <v>1.0928052098036114</v>
      </c>
    </row>
    <row r="25" spans="1:5" x14ac:dyDescent="0.45">
      <c r="A25">
        <v>241.64</v>
      </c>
      <c r="B25">
        <v>265.72000000000003</v>
      </c>
      <c r="C25">
        <v>264</v>
      </c>
      <c r="D25" t="s">
        <v>4</v>
      </c>
      <c r="E25">
        <f t="shared" si="0"/>
        <v>1.095864496646652</v>
      </c>
    </row>
    <row r="26" spans="1:5" x14ac:dyDescent="0.45">
      <c r="A26">
        <v>445.6</v>
      </c>
      <c r="B26">
        <v>489.79</v>
      </c>
      <c r="C26">
        <v>439</v>
      </c>
      <c r="D26" t="s">
        <v>4</v>
      </c>
      <c r="E26">
        <f t="shared" si="0"/>
        <v>1.0968917545588757</v>
      </c>
    </row>
    <row r="27" spans="1:5" x14ac:dyDescent="0.45">
      <c r="A27">
        <v>267.52999999999997</v>
      </c>
      <c r="B27">
        <v>296.56</v>
      </c>
      <c r="C27">
        <v>262</v>
      </c>
      <c r="D27" t="s">
        <v>4</v>
      </c>
      <c r="E27">
        <f t="shared" si="0"/>
        <v>1.104694401113038</v>
      </c>
    </row>
    <row r="28" spans="1:5" x14ac:dyDescent="0.45">
      <c r="A28">
        <v>307.44</v>
      </c>
      <c r="B28">
        <v>341.19</v>
      </c>
      <c r="C28">
        <v>383</v>
      </c>
      <c r="D28" t="s">
        <v>4</v>
      </c>
      <c r="E28">
        <f t="shared" si="0"/>
        <v>1.1071665515069617</v>
      </c>
    </row>
    <row r="29" spans="1:5" x14ac:dyDescent="0.45">
      <c r="A29">
        <v>496.94</v>
      </c>
      <c r="B29">
        <v>551.86</v>
      </c>
      <c r="C29">
        <v>459</v>
      </c>
      <c r="D29" t="s">
        <v>4</v>
      </c>
      <c r="E29">
        <f t="shared" si="0"/>
        <v>1.108337710886486</v>
      </c>
    </row>
    <row r="30" spans="1:5" x14ac:dyDescent="0.45">
      <c r="A30">
        <v>412.14</v>
      </c>
      <c r="B30">
        <v>457.93</v>
      </c>
      <c r="C30">
        <v>363</v>
      </c>
      <c r="D30" t="s">
        <v>4</v>
      </c>
      <c r="E30">
        <f t="shared" si="0"/>
        <v>1.1083482023078897</v>
      </c>
    </row>
    <row r="31" spans="1:5" x14ac:dyDescent="0.45">
      <c r="A31">
        <v>476.37</v>
      </c>
      <c r="B31">
        <v>530.28</v>
      </c>
      <c r="C31">
        <v>431</v>
      </c>
      <c r="D31" t="s">
        <v>4</v>
      </c>
      <c r="E31">
        <f t="shared" si="0"/>
        <v>1.1108481499226532</v>
      </c>
    </row>
    <row r="32" spans="1:5" x14ac:dyDescent="0.45">
      <c r="A32">
        <v>305.64</v>
      </c>
      <c r="B32">
        <v>343.08</v>
      </c>
      <c r="C32">
        <v>266</v>
      </c>
      <c r="D32" t="s">
        <v>4</v>
      </c>
      <c r="E32">
        <f t="shared" si="0"/>
        <v>1.1187376568630056</v>
      </c>
    </row>
    <row r="33" spans="1:5" x14ac:dyDescent="0.45">
      <c r="A33">
        <v>624.58000000000004</v>
      </c>
      <c r="B33">
        <v>700</v>
      </c>
      <c r="C33">
        <v>585</v>
      </c>
      <c r="D33" t="s">
        <v>4</v>
      </c>
      <c r="E33">
        <f t="shared" si="0"/>
        <v>1.1190437444047869</v>
      </c>
    </row>
    <row r="34" spans="1:5" x14ac:dyDescent="0.45">
      <c r="A34">
        <v>618.46</v>
      </c>
      <c r="B34">
        <v>700</v>
      </c>
      <c r="C34">
        <v>594</v>
      </c>
      <c r="D34" t="s">
        <v>4</v>
      </c>
      <c r="E34">
        <f t="shared" ref="E34:E65" si="1">((B34/A34)-1/C34)</f>
        <v>1.1301601098677707</v>
      </c>
    </row>
    <row r="35" spans="1:5" x14ac:dyDescent="0.45">
      <c r="A35">
        <v>562.08000000000004</v>
      </c>
      <c r="B35">
        <v>636.96</v>
      </c>
      <c r="C35">
        <v>605</v>
      </c>
      <c r="D35" t="s">
        <v>4</v>
      </c>
      <c r="E35">
        <f t="shared" si="1"/>
        <v>1.1315665779760182</v>
      </c>
    </row>
    <row r="36" spans="1:5" x14ac:dyDescent="0.45">
      <c r="A36">
        <v>610.09</v>
      </c>
      <c r="B36">
        <v>695.05</v>
      </c>
      <c r="C36">
        <v>615</v>
      </c>
      <c r="D36" t="s">
        <v>4</v>
      </c>
      <c r="E36">
        <f t="shared" si="1"/>
        <v>1.1376321259811459</v>
      </c>
    </row>
    <row r="37" spans="1:5" x14ac:dyDescent="0.45">
      <c r="A37">
        <v>302.17</v>
      </c>
      <c r="B37">
        <v>344.82</v>
      </c>
      <c r="C37">
        <v>310</v>
      </c>
      <c r="D37" t="s">
        <v>4</v>
      </c>
      <c r="E37">
        <f t="shared" si="1"/>
        <v>1.1379199062266807</v>
      </c>
    </row>
    <row r="38" spans="1:5" x14ac:dyDescent="0.45">
      <c r="A38">
        <v>366.59</v>
      </c>
      <c r="B38">
        <v>420.69</v>
      </c>
      <c r="C38">
        <v>359</v>
      </c>
      <c r="D38" t="s">
        <v>4</v>
      </c>
      <c r="E38">
        <f t="shared" si="1"/>
        <v>1.1447907960902335</v>
      </c>
    </row>
    <row r="39" spans="1:5" x14ac:dyDescent="0.45">
      <c r="A39">
        <v>583.47</v>
      </c>
      <c r="B39">
        <v>672.66</v>
      </c>
      <c r="C39">
        <v>553</v>
      </c>
      <c r="D39" t="s">
        <v>4</v>
      </c>
      <c r="E39">
        <f t="shared" si="1"/>
        <v>1.151053011367329</v>
      </c>
    </row>
    <row r="40" spans="1:5" x14ac:dyDescent="0.45">
      <c r="A40">
        <v>575.24</v>
      </c>
      <c r="B40">
        <v>666.46</v>
      </c>
      <c r="C40">
        <v>567</v>
      </c>
      <c r="D40" t="s">
        <v>4</v>
      </c>
      <c r="E40">
        <f t="shared" si="1"/>
        <v>1.1568136210488389</v>
      </c>
    </row>
    <row r="41" spans="1:5" x14ac:dyDescent="0.45">
      <c r="A41">
        <v>364</v>
      </c>
      <c r="B41">
        <v>422.68</v>
      </c>
      <c r="C41">
        <v>288</v>
      </c>
      <c r="D41" t="s">
        <v>4</v>
      </c>
      <c r="E41">
        <f t="shared" si="1"/>
        <v>1.1577365689865688</v>
      </c>
    </row>
    <row r="42" spans="1:5" x14ac:dyDescent="0.45">
      <c r="A42">
        <v>539.19000000000005</v>
      </c>
      <c r="B42">
        <v>625.54</v>
      </c>
      <c r="C42">
        <v>577</v>
      </c>
      <c r="D42" t="s">
        <v>4</v>
      </c>
      <c r="E42">
        <f t="shared" si="1"/>
        <v>1.1584145265976504</v>
      </c>
    </row>
    <row r="43" spans="1:5" x14ac:dyDescent="0.45">
      <c r="A43">
        <v>506.91</v>
      </c>
      <c r="B43">
        <v>591.12</v>
      </c>
      <c r="C43">
        <v>483</v>
      </c>
      <c r="D43" t="s">
        <v>4</v>
      </c>
      <c r="E43">
        <f t="shared" si="1"/>
        <v>1.1640537706780492</v>
      </c>
    </row>
    <row r="44" spans="1:5" x14ac:dyDescent="0.45">
      <c r="A44">
        <v>422.52</v>
      </c>
      <c r="B44">
        <v>495.49</v>
      </c>
      <c r="C44">
        <v>477</v>
      </c>
      <c r="D44" t="s">
        <v>4</v>
      </c>
      <c r="E44">
        <f t="shared" si="1"/>
        <v>1.1706054478757884</v>
      </c>
    </row>
    <row r="45" spans="1:5" x14ac:dyDescent="0.45">
      <c r="A45">
        <v>218.89</v>
      </c>
      <c r="B45">
        <v>257.54000000000002</v>
      </c>
      <c r="C45">
        <v>286</v>
      </c>
      <c r="D45" t="s">
        <v>4</v>
      </c>
      <c r="E45">
        <f t="shared" si="1"/>
        <v>1.1730762042562493</v>
      </c>
    </row>
    <row r="46" spans="1:5" x14ac:dyDescent="0.45">
      <c r="A46">
        <v>460.26</v>
      </c>
      <c r="B46">
        <v>540.91</v>
      </c>
      <c r="C46">
        <v>487</v>
      </c>
      <c r="D46" t="s">
        <v>4</v>
      </c>
      <c r="E46">
        <f t="shared" si="1"/>
        <v>1.1731736574925824</v>
      </c>
    </row>
    <row r="47" spans="1:5" x14ac:dyDescent="0.45">
      <c r="A47">
        <v>399.54</v>
      </c>
      <c r="B47">
        <v>475.06</v>
      </c>
      <c r="C47">
        <v>386</v>
      </c>
      <c r="D47" t="s">
        <v>4</v>
      </c>
      <c r="E47">
        <f t="shared" si="1"/>
        <v>1.1864266964003423</v>
      </c>
    </row>
    <row r="48" spans="1:5" x14ac:dyDescent="0.45">
      <c r="A48">
        <v>266.13</v>
      </c>
      <c r="B48">
        <v>318.20999999999998</v>
      </c>
      <c r="C48">
        <v>288</v>
      </c>
      <c r="D48" t="s">
        <v>4</v>
      </c>
      <c r="E48">
        <f t="shared" si="1"/>
        <v>1.1922216116183819</v>
      </c>
    </row>
    <row r="49" spans="1:5" x14ac:dyDescent="0.45">
      <c r="A49">
        <v>557.9</v>
      </c>
      <c r="B49">
        <v>667.76</v>
      </c>
      <c r="C49">
        <v>530</v>
      </c>
      <c r="D49" t="s">
        <v>4</v>
      </c>
      <c r="E49">
        <f t="shared" si="1"/>
        <v>1.1950302177640544</v>
      </c>
    </row>
    <row r="50" spans="1:5" x14ac:dyDescent="0.45">
      <c r="A50">
        <v>468.2</v>
      </c>
      <c r="B50">
        <v>560.79999999999995</v>
      </c>
      <c r="C50">
        <v>484</v>
      </c>
      <c r="D50" t="s">
        <v>4</v>
      </c>
      <c r="E50">
        <f t="shared" si="1"/>
        <v>1.1957126113372474</v>
      </c>
    </row>
    <row r="51" spans="1:5" x14ac:dyDescent="0.45">
      <c r="A51">
        <v>419.19</v>
      </c>
      <c r="B51">
        <v>502.5</v>
      </c>
      <c r="C51">
        <v>474</v>
      </c>
      <c r="D51" t="s">
        <v>4</v>
      </c>
      <c r="E51">
        <f t="shared" si="1"/>
        <v>1.196630723326874</v>
      </c>
    </row>
    <row r="52" spans="1:5" x14ac:dyDescent="0.45">
      <c r="A52">
        <v>165.02</v>
      </c>
      <c r="B52">
        <v>199.51</v>
      </c>
      <c r="C52">
        <v>163</v>
      </c>
      <c r="D52" t="s">
        <v>4</v>
      </c>
      <c r="E52">
        <f t="shared" si="1"/>
        <v>1.2028699997695018</v>
      </c>
    </row>
    <row r="53" spans="1:5" x14ac:dyDescent="0.45">
      <c r="A53">
        <v>416.62</v>
      </c>
      <c r="B53">
        <v>502.61</v>
      </c>
      <c r="C53">
        <v>398</v>
      </c>
      <c r="D53" t="s">
        <v>4</v>
      </c>
      <c r="E53">
        <f t="shared" si="1"/>
        <v>1.2038865538870003</v>
      </c>
    </row>
    <row r="54" spans="1:5" x14ac:dyDescent="0.45">
      <c r="A54">
        <v>474.78</v>
      </c>
      <c r="B54">
        <v>572.77</v>
      </c>
      <c r="C54">
        <v>480</v>
      </c>
      <c r="D54" t="s">
        <v>4</v>
      </c>
      <c r="E54">
        <f t="shared" si="1"/>
        <v>1.2043069948186529</v>
      </c>
    </row>
    <row r="55" spans="1:5" x14ac:dyDescent="0.45">
      <c r="A55">
        <v>112.75</v>
      </c>
      <c r="B55">
        <v>137.9</v>
      </c>
      <c r="C55">
        <v>138</v>
      </c>
      <c r="D55" t="s">
        <v>5</v>
      </c>
      <c r="E55">
        <f t="shared" si="1"/>
        <v>1.2158134901507118</v>
      </c>
    </row>
    <row r="56" spans="1:5" x14ac:dyDescent="0.45">
      <c r="A56">
        <v>502.06</v>
      </c>
      <c r="B56">
        <v>611.77</v>
      </c>
      <c r="C56">
        <v>502</v>
      </c>
      <c r="D56" t="s">
        <v>4</v>
      </c>
      <c r="E56">
        <f t="shared" si="1"/>
        <v>1.2165276669682661</v>
      </c>
    </row>
    <row r="57" spans="1:5" x14ac:dyDescent="0.45">
      <c r="A57">
        <v>492.98</v>
      </c>
      <c r="B57">
        <v>601.69000000000005</v>
      </c>
      <c r="C57">
        <v>447</v>
      </c>
      <c r="D57" t="s">
        <v>4</v>
      </c>
      <c r="E57">
        <f t="shared" si="1"/>
        <v>1.2182789088103461</v>
      </c>
    </row>
    <row r="58" spans="1:5" x14ac:dyDescent="0.45">
      <c r="A58">
        <v>190.14</v>
      </c>
      <c r="B58">
        <v>233.9</v>
      </c>
      <c r="C58">
        <v>162</v>
      </c>
      <c r="D58" t="s">
        <v>4</v>
      </c>
      <c r="E58">
        <f t="shared" si="1"/>
        <v>1.2239733685510483</v>
      </c>
    </row>
    <row r="59" spans="1:5" x14ac:dyDescent="0.45">
      <c r="A59">
        <v>100.49</v>
      </c>
      <c r="B59">
        <v>124.18</v>
      </c>
      <c r="C59">
        <v>138</v>
      </c>
      <c r="D59" t="s">
        <v>4</v>
      </c>
      <c r="E59">
        <f t="shared" si="1"/>
        <v>1.2284984734222599</v>
      </c>
    </row>
    <row r="60" spans="1:5" x14ac:dyDescent="0.45">
      <c r="A60">
        <v>187.02</v>
      </c>
      <c r="B60">
        <v>231.22</v>
      </c>
      <c r="C60">
        <v>199</v>
      </c>
      <c r="D60" t="s">
        <v>4</v>
      </c>
      <c r="E60">
        <f t="shared" si="1"/>
        <v>1.231313233905599</v>
      </c>
    </row>
    <row r="61" spans="1:5" x14ac:dyDescent="0.45">
      <c r="A61">
        <v>299.83999999999997</v>
      </c>
      <c r="B61">
        <v>371.05</v>
      </c>
      <c r="C61">
        <v>286</v>
      </c>
      <c r="D61" t="s">
        <v>4</v>
      </c>
      <c r="E61">
        <f t="shared" si="1"/>
        <v>1.233996826279377</v>
      </c>
    </row>
    <row r="62" spans="1:5" x14ac:dyDescent="0.45">
      <c r="A62">
        <v>430.51</v>
      </c>
      <c r="B62">
        <v>540.23</v>
      </c>
      <c r="C62">
        <v>440</v>
      </c>
      <c r="D62" t="s">
        <v>4</v>
      </c>
      <c r="E62">
        <f t="shared" si="1"/>
        <v>1.2525877870010411</v>
      </c>
    </row>
    <row r="63" spans="1:5" x14ac:dyDescent="0.45">
      <c r="A63">
        <v>414.46</v>
      </c>
      <c r="B63">
        <v>524.5</v>
      </c>
      <c r="C63">
        <v>421</v>
      </c>
      <c r="D63" t="s">
        <v>4</v>
      </c>
      <c r="E63">
        <f t="shared" si="1"/>
        <v>1.2631268022048092</v>
      </c>
    </row>
    <row r="64" spans="1:5" x14ac:dyDescent="0.45">
      <c r="A64">
        <v>379.32</v>
      </c>
      <c r="B64">
        <v>481.04</v>
      </c>
      <c r="C64">
        <v>400</v>
      </c>
      <c r="D64" t="s">
        <v>4</v>
      </c>
      <c r="E64">
        <f t="shared" si="1"/>
        <v>1.2656640830960668</v>
      </c>
    </row>
    <row r="65" spans="1:5" x14ac:dyDescent="0.45">
      <c r="A65">
        <v>394.69</v>
      </c>
      <c r="B65">
        <v>502.42</v>
      </c>
      <c r="C65">
        <v>398</v>
      </c>
      <c r="D65" t="s">
        <v>4</v>
      </c>
      <c r="E65">
        <f t="shared" si="1"/>
        <v>1.2704358270615284</v>
      </c>
    </row>
    <row r="66" spans="1:5" x14ac:dyDescent="0.45">
      <c r="A66">
        <v>286.74</v>
      </c>
      <c r="B66">
        <v>365.83</v>
      </c>
      <c r="C66">
        <v>303</v>
      </c>
      <c r="D66" t="s">
        <v>4</v>
      </c>
      <c r="E66">
        <f t="shared" ref="E66:E101" si="2">((B66/A66)-1/C66)</f>
        <v>1.27252445897446</v>
      </c>
    </row>
    <row r="67" spans="1:5" x14ac:dyDescent="0.45">
      <c r="A67">
        <v>204.05</v>
      </c>
      <c r="B67">
        <v>260.83</v>
      </c>
      <c r="C67">
        <v>232</v>
      </c>
      <c r="D67" t="s">
        <v>4</v>
      </c>
      <c r="E67">
        <f t="shared" si="2"/>
        <v>1.2739547862677334</v>
      </c>
    </row>
    <row r="68" spans="1:5" x14ac:dyDescent="0.45">
      <c r="A68">
        <v>319.08999999999997</v>
      </c>
      <c r="B68">
        <v>408.18</v>
      </c>
      <c r="C68">
        <v>350</v>
      </c>
      <c r="D68" t="s">
        <v>4</v>
      </c>
      <c r="E68">
        <f t="shared" si="2"/>
        <v>1.2763430827845257</v>
      </c>
    </row>
    <row r="69" spans="1:5" x14ac:dyDescent="0.45">
      <c r="A69">
        <v>307.25</v>
      </c>
      <c r="B69">
        <v>395.01</v>
      </c>
      <c r="C69">
        <v>264</v>
      </c>
      <c r="D69" t="s">
        <v>4</v>
      </c>
      <c r="E69">
        <f t="shared" si="2"/>
        <v>1.2818427151909657</v>
      </c>
    </row>
    <row r="70" spans="1:5" x14ac:dyDescent="0.45">
      <c r="A70">
        <v>150.72</v>
      </c>
      <c r="B70">
        <v>194.68</v>
      </c>
      <c r="C70">
        <v>159</v>
      </c>
      <c r="D70" t="s">
        <v>4</v>
      </c>
      <c r="E70">
        <f t="shared" si="2"/>
        <v>1.2853773584905661</v>
      </c>
    </row>
    <row r="71" spans="1:5" x14ac:dyDescent="0.45">
      <c r="A71">
        <v>279.7</v>
      </c>
      <c r="B71">
        <v>364.22</v>
      </c>
      <c r="C71">
        <v>384</v>
      </c>
      <c r="D71" t="s">
        <v>4</v>
      </c>
      <c r="E71">
        <f t="shared" si="2"/>
        <v>1.2995767414491719</v>
      </c>
    </row>
    <row r="72" spans="1:5" x14ac:dyDescent="0.45">
      <c r="A72">
        <v>272.37</v>
      </c>
      <c r="B72">
        <v>355.6</v>
      </c>
      <c r="C72">
        <v>239</v>
      </c>
      <c r="D72" t="s">
        <v>4</v>
      </c>
      <c r="E72">
        <f t="shared" si="2"/>
        <v>1.3013928720822325</v>
      </c>
    </row>
    <row r="73" spans="1:5" x14ac:dyDescent="0.45">
      <c r="A73">
        <v>355.5</v>
      </c>
      <c r="B73">
        <v>467.97</v>
      </c>
      <c r="C73">
        <v>350</v>
      </c>
      <c r="D73" t="s">
        <v>4</v>
      </c>
      <c r="E73">
        <f t="shared" si="2"/>
        <v>1.3135141651597348</v>
      </c>
    </row>
    <row r="74" spans="1:5" x14ac:dyDescent="0.45">
      <c r="A74">
        <v>353.14</v>
      </c>
      <c r="B74">
        <v>466.81</v>
      </c>
      <c r="C74">
        <v>329</v>
      </c>
      <c r="D74" t="s">
        <v>4</v>
      </c>
      <c r="E74">
        <f t="shared" si="2"/>
        <v>1.3188441585201836</v>
      </c>
    </row>
    <row r="75" spans="1:5" x14ac:dyDescent="0.45">
      <c r="A75">
        <v>213.56</v>
      </c>
      <c r="B75">
        <v>287.13</v>
      </c>
      <c r="C75">
        <v>354</v>
      </c>
      <c r="D75" t="s">
        <v>4</v>
      </c>
      <c r="E75">
        <f t="shared" si="2"/>
        <v>1.3416684920576971</v>
      </c>
    </row>
    <row r="76" spans="1:5" x14ac:dyDescent="0.45">
      <c r="A76">
        <v>232.69</v>
      </c>
      <c r="B76">
        <v>316.05</v>
      </c>
      <c r="C76">
        <v>246</v>
      </c>
      <c r="D76" t="s">
        <v>4</v>
      </c>
      <c r="E76">
        <f t="shared" si="2"/>
        <v>1.3541798345053802</v>
      </c>
    </row>
    <row r="77" spans="1:5" x14ac:dyDescent="0.45">
      <c r="A77">
        <v>107.12</v>
      </c>
      <c r="B77">
        <v>154.97999999999999</v>
      </c>
      <c r="C77">
        <v>152</v>
      </c>
      <c r="D77" t="s">
        <v>4</v>
      </c>
      <c r="E77">
        <f t="shared" si="2"/>
        <v>1.4402097008765378</v>
      </c>
    </row>
    <row r="78" spans="1:5" x14ac:dyDescent="0.45">
      <c r="A78">
        <v>204.83</v>
      </c>
      <c r="B78">
        <v>297.64999999999998</v>
      </c>
      <c r="C78">
        <v>182</v>
      </c>
      <c r="D78" t="s">
        <v>4</v>
      </c>
      <c r="E78">
        <f t="shared" si="2"/>
        <v>1.4476617704416366</v>
      </c>
    </row>
    <row r="79" spans="1:5" x14ac:dyDescent="0.45">
      <c r="A79">
        <v>207.57</v>
      </c>
      <c r="B79">
        <v>303.74</v>
      </c>
      <c r="C79">
        <v>228</v>
      </c>
      <c r="D79" t="s">
        <v>4</v>
      </c>
      <c r="E79">
        <f t="shared" si="2"/>
        <v>1.4589276160483593</v>
      </c>
    </row>
    <row r="80" spans="1:5" x14ac:dyDescent="0.45">
      <c r="A80">
        <v>223.42</v>
      </c>
      <c r="B80">
        <v>326.95</v>
      </c>
      <c r="C80">
        <v>286</v>
      </c>
      <c r="D80" t="s">
        <v>4</v>
      </c>
      <c r="E80">
        <f t="shared" si="2"/>
        <v>1.4598908387289016</v>
      </c>
    </row>
    <row r="81" spans="1:5" x14ac:dyDescent="0.45">
      <c r="A81">
        <v>136.34</v>
      </c>
      <c r="B81">
        <v>206.61</v>
      </c>
      <c r="C81">
        <v>89</v>
      </c>
      <c r="D81" t="s">
        <v>4</v>
      </c>
      <c r="E81">
        <f t="shared" si="2"/>
        <v>1.5041667147399183</v>
      </c>
    </row>
    <row r="82" spans="1:5" x14ac:dyDescent="0.45">
      <c r="A82">
        <v>134.68</v>
      </c>
      <c r="B82">
        <v>203.63</v>
      </c>
      <c r="C82">
        <v>134</v>
      </c>
      <c r="D82" t="s">
        <v>4</v>
      </c>
      <c r="E82">
        <f t="shared" si="2"/>
        <v>1.5044915753870978</v>
      </c>
    </row>
    <row r="83" spans="1:5" x14ac:dyDescent="0.45">
      <c r="A83">
        <v>162.44</v>
      </c>
      <c r="B83">
        <v>249.65</v>
      </c>
      <c r="C83">
        <v>221</v>
      </c>
      <c r="D83" t="s">
        <v>4</v>
      </c>
      <c r="E83">
        <f t="shared" si="2"/>
        <v>1.5323502670251516</v>
      </c>
    </row>
    <row r="84" spans="1:5" x14ac:dyDescent="0.45">
      <c r="A84">
        <v>186.04</v>
      </c>
      <c r="B84">
        <v>296.86</v>
      </c>
      <c r="C84">
        <v>120</v>
      </c>
      <c r="D84" t="s">
        <v>4</v>
      </c>
      <c r="E84">
        <f t="shared" si="2"/>
        <v>1.5873450154088729</v>
      </c>
    </row>
    <row r="85" spans="1:5" x14ac:dyDescent="0.45">
      <c r="A85">
        <v>75.02</v>
      </c>
      <c r="B85">
        <v>120.2</v>
      </c>
      <c r="C85">
        <v>82</v>
      </c>
      <c r="D85" t="s">
        <v>4</v>
      </c>
      <c r="E85" s="1">
        <f t="shared" si="2"/>
        <v>1.5900442808746937</v>
      </c>
    </row>
    <row r="86" spans="1:5" x14ac:dyDescent="0.45">
      <c r="A86">
        <v>99.69</v>
      </c>
      <c r="B86">
        <v>169.41</v>
      </c>
      <c r="C86">
        <v>66</v>
      </c>
      <c r="D86" t="s">
        <v>5</v>
      </c>
      <c r="E86" s="1">
        <f t="shared" si="2"/>
        <v>1.6842165257753581</v>
      </c>
    </row>
    <row r="87" spans="1:5" x14ac:dyDescent="0.45">
      <c r="A87">
        <v>163.66</v>
      </c>
      <c r="B87">
        <v>282.23</v>
      </c>
      <c r="C87">
        <v>186</v>
      </c>
      <c r="D87" t="s">
        <v>4</v>
      </c>
      <c r="E87">
        <f t="shared" si="2"/>
        <v>1.7191134518323461</v>
      </c>
    </row>
    <row r="88" spans="1:5" x14ac:dyDescent="0.45">
      <c r="A88">
        <v>40.130000000000003</v>
      </c>
      <c r="B88">
        <v>72.12</v>
      </c>
      <c r="C88">
        <v>13</v>
      </c>
      <c r="D88" t="s">
        <v>5</v>
      </c>
      <c r="E88">
        <f t="shared" si="2"/>
        <v>1.7202361555713164</v>
      </c>
    </row>
    <row r="89" spans="1:5" x14ac:dyDescent="0.45">
      <c r="A89">
        <v>91.3</v>
      </c>
      <c r="B89">
        <v>163.18</v>
      </c>
      <c r="C89">
        <v>17</v>
      </c>
      <c r="D89" t="s">
        <v>5</v>
      </c>
      <c r="E89">
        <f t="shared" si="2"/>
        <v>1.728471103666001</v>
      </c>
    </row>
    <row r="90" spans="1:5" x14ac:dyDescent="0.45">
      <c r="A90">
        <v>64.45</v>
      </c>
      <c r="B90">
        <v>112.94</v>
      </c>
      <c r="C90">
        <v>92</v>
      </c>
      <c r="D90" t="s">
        <v>4</v>
      </c>
      <c r="E90">
        <f t="shared" si="2"/>
        <v>1.7414966101123215</v>
      </c>
    </row>
    <row r="91" spans="1:5" x14ac:dyDescent="0.45">
      <c r="A91">
        <v>68.98</v>
      </c>
      <c r="B91">
        <v>122.75</v>
      </c>
      <c r="C91">
        <v>110</v>
      </c>
      <c r="D91" t="s">
        <v>5</v>
      </c>
      <c r="E91">
        <f t="shared" si="2"/>
        <v>1.7704103956350985</v>
      </c>
    </row>
    <row r="92" spans="1:5" x14ac:dyDescent="0.45">
      <c r="A92">
        <v>96.19</v>
      </c>
      <c r="B92">
        <v>177.15</v>
      </c>
      <c r="C92">
        <v>125</v>
      </c>
      <c r="D92" t="s">
        <v>4</v>
      </c>
      <c r="E92">
        <f t="shared" si="2"/>
        <v>1.8336675330075893</v>
      </c>
    </row>
    <row r="93" spans="1:5" x14ac:dyDescent="0.45">
      <c r="A93">
        <v>52.77</v>
      </c>
      <c r="B93">
        <v>102.86</v>
      </c>
      <c r="C93">
        <v>53</v>
      </c>
      <c r="D93" t="s">
        <v>5</v>
      </c>
      <c r="E93">
        <f t="shared" si="2"/>
        <v>1.9303456437870288</v>
      </c>
    </row>
    <row r="94" spans="1:5" x14ac:dyDescent="0.45">
      <c r="A94">
        <v>54.02</v>
      </c>
      <c r="B94">
        <v>110.38</v>
      </c>
      <c r="C94">
        <v>56</v>
      </c>
      <c r="D94" t="s">
        <v>5</v>
      </c>
      <c r="E94">
        <f t="shared" si="2"/>
        <v>2.0254601470354894</v>
      </c>
    </row>
    <row r="95" spans="1:5" x14ac:dyDescent="0.45">
      <c r="A95">
        <v>77.97</v>
      </c>
      <c r="B95">
        <v>168.28</v>
      </c>
      <c r="C95">
        <v>70</v>
      </c>
      <c r="D95" t="s">
        <v>4</v>
      </c>
      <c r="E95">
        <f t="shared" si="2"/>
        <v>2.143980285457777</v>
      </c>
    </row>
    <row r="96" spans="1:5" x14ac:dyDescent="0.45">
      <c r="A96">
        <v>39</v>
      </c>
      <c r="B96">
        <v>91.32</v>
      </c>
      <c r="C96">
        <v>16</v>
      </c>
      <c r="D96" t="s">
        <v>5</v>
      </c>
      <c r="E96">
        <f t="shared" si="2"/>
        <v>2.2790384615384616</v>
      </c>
    </row>
    <row r="97" spans="1:5" x14ac:dyDescent="0.45">
      <c r="A97">
        <v>86.29</v>
      </c>
      <c r="B97">
        <v>203.47</v>
      </c>
      <c r="C97">
        <v>91</v>
      </c>
      <c r="D97" t="s">
        <v>4</v>
      </c>
      <c r="E97">
        <f t="shared" si="2"/>
        <v>2.3469898973433563</v>
      </c>
    </row>
    <row r="98" spans="1:5" x14ac:dyDescent="0.45">
      <c r="A98">
        <v>68.11</v>
      </c>
      <c r="B98">
        <v>184.36</v>
      </c>
      <c r="C98">
        <v>91</v>
      </c>
      <c r="D98" t="s">
        <v>4</v>
      </c>
      <c r="E98">
        <f t="shared" si="2"/>
        <v>2.6958088160554761</v>
      </c>
    </row>
    <row r="99" spans="1:5" x14ac:dyDescent="0.45">
      <c r="A99">
        <v>22.42</v>
      </c>
      <c r="B99">
        <v>84.16</v>
      </c>
      <c r="C99">
        <v>7</v>
      </c>
      <c r="D99" t="s">
        <v>5</v>
      </c>
      <c r="E99">
        <f t="shared" si="2"/>
        <v>3.6109341149483876</v>
      </c>
    </row>
    <row r="100" spans="1:5" x14ac:dyDescent="0.45">
      <c r="A100">
        <v>13.51</v>
      </c>
      <c r="B100">
        <v>55.72</v>
      </c>
      <c r="C100">
        <v>58</v>
      </c>
      <c r="D100" t="s">
        <v>5</v>
      </c>
      <c r="E100">
        <f t="shared" si="2"/>
        <v>4.107110952295872</v>
      </c>
    </row>
    <row r="101" spans="1:5" x14ac:dyDescent="0.45">
      <c r="A101">
        <v>32.020000000000003</v>
      </c>
      <c r="B101">
        <v>146.32</v>
      </c>
      <c r="C101">
        <v>54</v>
      </c>
      <c r="D101" t="s">
        <v>5</v>
      </c>
      <c r="E101">
        <f t="shared" si="2"/>
        <v>4.5511254539986581</v>
      </c>
    </row>
  </sheetData>
  <sortState xmlns:xlrd2="http://schemas.microsoft.com/office/spreadsheetml/2017/richdata2" ref="A2:E103">
    <sortCondition ref="E1:E1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E98E-B309-4573-BEAF-F8C07B4D3F8F}">
  <dimension ref="A1:H101"/>
  <sheetViews>
    <sheetView tabSelected="1" topLeftCell="B1" workbookViewId="0">
      <selection activeCell="H3" sqref="H3"/>
    </sheetView>
  </sheetViews>
  <sheetFormatPr defaultRowHeight="14.25" x14ac:dyDescent="0.45"/>
  <cols>
    <col min="4" max="4" width="13.73046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8" x14ac:dyDescent="0.45">
      <c r="A2">
        <v>694.14</v>
      </c>
      <c r="B2">
        <v>700</v>
      </c>
      <c r="C2">
        <v>714</v>
      </c>
      <c r="D2" t="s">
        <v>4</v>
      </c>
      <c r="E2">
        <f>((B2/A2)-1/C2)</f>
        <v>1.0070415407929962</v>
      </c>
      <c r="G2" t="s">
        <v>9</v>
      </c>
      <c r="H2">
        <f>GEOMEAN(E60:E61)</f>
        <v>1.2326542997918375</v>
      </c>
    </row>
    <row r="3" spans="1:8" x14ac:dyDescent="0.45">
      <c r="A3">
        <v>693.16</v>
      </c>
      <c r="B3">
        <v>700</v>
      </c>
      <c r="C3">
        <v>664</v>
      </c>
      <c r="D3" t="s">
        <v>4</v>
      </c>
      <c r="E3">
        <f>((B3/A3)-1/C3)</f>
        <v>1.0083618274818937</v>
      </c>
    </row>
    <row r="4" spans="1:8" x14ac:dyDescent="0.45">
      <c r="A4">
        <v>692.59</v>
      </c>
      <c r="B4">
        <v>700</v>
      </c>
      <c r="C4">
        <v>686</v>
      </c>
      <c r="D4" t="s">
        <v>4</v>
      </c>
      <c r="E4">
        <f>((B4/A4)-1/C4)</f>
        <v>1.0092412445833838</v>
      </c>
    </row>
    <row r="5" spans="1:8" x14ac:dyDescent="0.45">
      <c r="A5">
        <v>686.49</v>
      </c>
      <c r="B5">
        <v>700</v>
      </c>
      <c r="C5">
        <v>714</v>
      </c>
      <c r="D5" t="s">
        <v>4</v>
      </c>
      <c r="E5">
        <f>((B5/A5)-1/C5)</f>
        <v>1.0182792603122619</v>
      </c>
    </row>
    <row r="6" spans="1:8" x14ac:dyDescent="0.45">
      <c r="A6">
        <v>555.92999999999995</v>
      </c>
      <c r="B6">
        <v>576.44000000000005</v>
      </c>
      <c r="C6">
        <v>507</v>
      </c>
      <c r="D6" t="s">
        <v>4</v>
      </c>
      <c r="E6">
        <f>((B6/A6)-1/C6)</f>
        <v>1.0349207474398943</v>
      </c>
    </row>
    <row r="7" spans="1:8" x14ac:dyDescent="0.45">
      <c r="A7">
        <v>553.27</v>
      </c>
      <c r="B7">
        <v>574.19000000000005</v>
      </c>
      <c r="C7">
        <v>560</v>
      </c>
      <c r="D7" t="s">
        <v>4</v>
      </c>
      <c r="E7">
        <f>((B7/A7)-1/C7)</f>
        <v>1.0360258424587325</v>
      </c>
    </row>
    <row r="8" spans="1:8" x14ac:dyDescent="0.45">
      <c r="A8">
        <v>633.66</v>
      </c>
      <c r="B8">
        <v>663.03</v>
      </c>
      <c r="C8">
        <v>638</v>
      </c>
      <c r="D8" t="s">
        <v>4</v>
      </c>
      <c r="E8">
        <f>((B8/A8)-1/C8)</f>
        <v>1.0447823793640707</v>
      </c>
    </row>
    <row r="9" spans="1:8" x14ac:dyDescent="0.45">
      <c r="A9">
        <v>668.46</v>
      </c>
      <c r="B9">
        <v>700</v>
      </c>
      <c r="C9">
        <v>601</v>
      </c>
      <c r="D9" t="s">
        <v>4</v>
      </c>
      <c r="E9">
        <f>((B9/A9)-1/C9)</f>
        <v>1.0455191840106519</v>
      </c>
    </row>
    <row r="10" spans="1:8" x14ac:dyDescent="0.45">
      <c r="A10">
        <v>543.29999999999995</v>
      </c>
      <c r="B10">
        <v>571.71</v>
      </c>
      <c r="C10">
        <v>484</v>
      </c>
      <c r="D10" t="s">
        <v>4</v>
      </c>
      <c r="E10">
        <f>((B10/A10)-1/C10)</f>
        <v>1.0502254359264551</v>
      </c>
    </row>
    <row r="11" spans="1:8" x14ac:dyDescent="0.45">
      <c r="A11">
        <v>541.87</v>
      </c>
      <c r="B11">
        <v>572.02</v>
      </c>
      <c r="C11">
        <v>603</v>
      </c>
      <c r="D11" t="s">
        <v>4</v>
      </c>
      <c r="E11">
        <f>((B11/A11)-1/C11)</f>
        <v>1.0539822770241531</v>
      </c>
    </row>
    <row r="12" spans="1:8" x14ac:dyDescent="0.45">
      <c r="A12">
        <v>655.35</v>
      </c>
      <c r="B12">
        <v>700</v>
      </c>
      <c r="C12">
        <v>708</v>
      </c>
      <c r="D12" t="s">
        <v>4</v>
      </c>
      <c r="E12">
        <f>((B12/A12)-1/C12)</f>
        <v>1.0667191033902184</v>
      </c>
    </row>
    <row r="13" spans="1:8" x14ac:dyDescent="0.45">
      <c r="A13">
        <v>416.2</v>
      </c>
      <c r="B13">
        <v>445.51</v>
      </c>
      <c r="C13">
        <v>366</v>
      </c>
      <c r="D13" t="s">
        <v>4</v>
      </c>
      <c r="E13">
        <f>((B13/A13)-1/C13)</f>
        <v>1.0676906331812943</v>
      </c>
    </row>
    <row r="14" spans="1:8" x14ac:dyDescent="0.45">
      <c r="A14">
        <v>635.53</v>
      </c>
      <c r="B14">
        <v>679.93</v>
      </c>
      <c r="C14">
        <v>629</v>
      </c>
      <c r="D14" t="s">
        <v>4</v>
      </c>
      <c r="E14">
        <f>((B14/A14)-1/C14)</f>
        <v>1.0682731239154273</v>
      </c>
    </row>
    <row r="15" spans="1:8" x14ac:dyDescent="0.45">
      <c r="A15">
        <v>300.04000000000002</v>
      </c>
      <c r="B15">
        <v>321.7</v>
      </c>
      <c r="C15">
        <v>287</v>
      </c>
      <c r="D15" t="s">
        <v>4</v>
      </c>
      <c r="E15">
        <f>((B15/A15)-1/C15)</f>
        <v>1.0687060540592264</v>
      </c>
    </row>
    <row r="16" spans="1:8" x14ac:dyDescent="0.45">
      <c r="A16">
        <v>510.92</v>
      </c>
      <c r="B16">
        <v>547</v>
      </c>
      <c r="C16">
        <v>545</v>
      </c>
      <c r="D16" t="s">
        <v>4</v>
      </c>
      <c r="E16">
        <f>((B16/A16)-1/C16)</f>
        <v>1.0687828468450868</v>
      </c>
    </row>
    <row r="17" spans="1:5" x14ac:dyDescent="0.45">
      <c r="A17">
        <v>510.92</v>
      </c>
      <c r="B17">
        <v>547.09</v>
      </c>
      <c r="C17">
        <v>564</v>
      </c>
      <c r="D17" t="s">
        <v>4</v>
      </c>
      <c r="E17">
        <f>((B17/A17)-1/C17)</f>
        <v>1.0690208124073775</v>
      </c>
    </row>
    <row r="18" spans="1:5" x14ac:dyDescent="0.45">
      <c r="A18">
        <v>575.53</v>
      </c>
      <c r="B18">
        <v>617.96</v>
      </c>
      <c r="C18">
        <v>611</v>
      </c>
      <c r="D18" t="s">
        <v>4</v>
      </c>
      <c r="E18">
        <f>((B18/A18)-1/C18)</f>
        <v>1.0720866894395753</v>
      </c>
    </row>
    <row r="19" spans="1:5" x14ac:dyDescent="0.45">
      <c r="A19">
        <v>589.88</v>
      </c>
      <c r="B19">
        <v>633.61</v>
      </c>
      <c r="C19">
        <v>600</v>
      </c>
      <c r="D19" t="s">
        <v>4</v>
      </c>
      <c r="E19">
        <f>((B19/A19)-1/C19)</f>
        <v>1.0724670554463054</v>
      </c>
    </row>
    <row r="20" spans="1:5" x14ac:dyDescent="0.45">
      <c r="A20">
        <v>649.99</v>
      </c>
      <c r="B20">
        <v>700</v>
      </c>
      <c r="C20">
        <v>662</v>
      </c>
      <c r="D20" t="s">
        <v>4</v>
      </c>
      <c r="E20">
        <f>((B20/A20)-1/C20)</f>
        <v>1.0754290712071841</v>
      </c>
    </row>
    <row r="21" spans="1:5" x14ac:dyDescent="0.45">
      <c r="A21">
        <v>632.28</v>
      </c>
      <c r="B21">
        <v>684.82</v>
      </c>
      <c r="C21">
        <v>512</v>
      </c>
      <c r="D21" t="s">
        <v>4</v>
      </c>
      <c r="E21">
        <f>((B21/A21)-1/C21)</f>
        <v>1.0811429716660341</v>
      </c>
    </row>
    <row r="22" spans="1:5" x14ac:dyDescent="0.45">
      <c r="A22">
        <v>355.83</v>
      </c>
      <c r="B22">
        <v>387.17</v>
      </c>
      <c r="C22">
        <v>332</v>
      </c>
      <c r="D22" t="s">
        <v>4</v>
      </c>
      <c r="E22">
        <f>((B22/A22)-1/C22)</f>
        <v>1.0850637183249481</v>
      </c>
    </row>
    <row r="23" spans="1:5" x14ac:dyDescent="0.45">
      <c r="A23">
        <v>643.13</v>
      </c>
      <c r="B23">
        <v>700</v>
      </c>
      <c r="C23">
        <v>593</v>
      </c>
      <c r="D23" t="s">
        <v>4</v>
      </c>
      <c r="E23">
        <f>((B23/A23)-1/C23)</f>
        <v>1.0867405714920408</v>
      </c>
    </row>
    <row r="24" spans="1:5" x14ac:dyDescent="0.45">
      <c r="A24">
        <v>639.70000000000005</v>
      </c>
      <c r="B24">
        <v>700</v>
      </c>
      <c r="C24">
        <v>686</v>
      </c>
      <c r="D24" t="s">
        <v>4</v>
      </c>
      <c r="E24">
        <f>((B24/A24)-1/C24)</f>
        <v>1.0928052098036114</v>
      </c>
    </row>
    <row r="25" spans="1:5" x14ac:dyDescent="0.45">
      <c r="A25">
        <v>241.64</v>
      </c>
      <c r="B25">
        <v>265.72000000000003</v>
      </c>
      <c r="C25">
        <v>264</v>
      </c>
      <c r="D25" t="s">
        <v>4</v>
      </c>
      <c r="E25">
        <f>((B25/A25)-1/C25)</f>
        <v>1.095864496646652</v>
      </c>
    </row>
    <row r="26" spans="1:5" x14ac:dyDescent="0.45">
      <c r="A26">
        <v>445.6</v>
      </c>
      <c r="B26">
        <v>489.79</v>
      </c>
      <c r="C26">
        <v>439</v>
      </c>
      <c r="D26" t="s">
        <v>4</v>
      </c>
      <c r="E26">
        <f>((B26/A26)-1/C26)</f>
        <v>1.0968917545588757</v>
      </c>
    </row>
    <row r="27" spans="1:5" x14ac:dyDescent="0.45">
      <c r="A27">
        <v>267.52999999999997</v>
      </c>
      <c r="B27">
        <v>296.56</v>
      </c>
      <c r="C27">
        <v>262</v>
      </c>
      <c r="D27" t="s">
        <v>4</v>
      </c>
      <c r="E27">
        <f>((B27/A27)-1/C27)</f>
        <v>1.104694401113038</v>
      </c>
    </row>
    <row r="28" spans="1:5" x14ac:dyDescent="0.45">
      <c r="A28">
        <v>307.44</v>
      </c>
      <c r="B28">
        <v>341.19</v>
      </c>
      <c r="C28">
        <v>383</v>
      </c>
      <c r="D28" t="s">
        <v>4</v>
      </c>
      <c r="E28">
        <f>((B28/A28)-1/C28)</f>
        <v>1.1071665515069617</v>
      </c>
    </row>
    <row r="29" spans="1:5" x14ac:dyDescent="0.45">
      <c r="A29">
        <v>496.94</v>
      </c>
      <c r="B29">
        <v>551.86</v>
      </c>
      <c r="C29">
        <v>459</v>
      </c>
      <c r="D29" t="s">
        <v>4</v>
      </c>
      <c r="E29">
        <f>((B29/A29)-1/C29)</f>
        <v>1.108337710886486</v>
      </c>
    </row>
    <row r="30" spans="1:5" x14ac:dyDescent="0.45">
      <c r="A30">
        <v>412.14</v>
      </c>
      <c r="B30">
        <v>457.93</v>
      </c>
      <c r="C30">
        <v>363</v>
      </c>
      <c r="D30" t="s">
        <v>4</v>
      </c>
      <c r="E30">
        <f>((B30/A30)-1/C30)</f>
        <v>1.1083482023078897</v>
      </c>
    </row>
    <row r="31" spans="1:5" x14ac:dyDescent="0.45">
      <c r="A31">
        <v>476.37</v>
      </c>
      <c r="B31">
        <v>530.28</v>
      </c>
      <c r="C31">
        <v>431</v>
      </c>
      <c r="D31" t="s">
        <v>5</v>
      </c>
      <c r="E31">
        <f>((B31/A31)-1/C31)</f>
        <v>1.1108481499226532</v>
      </c>
    </row>
    <row r="32" spans="1:5" x14ac:dyDescent="0.45">
      <c r="A32">
        <v>305.64</v>
      </c>
      <c r="B32">
        <v>343.08</v>
      </c>
      <c r="C32">
        <v>266</v>
      </c>
      <c r="D32" t="s">
        <v>4</v>
      </c>
      <c r="E32">
        <f>((B32/A32)-1/C32)</f>
        <v>1.1187376568630056</v>
      </c>
    </row>
    <row r="33" spans="1:5" x14ac:dyDescent="0.45">
      <c r="A33">
        <v>624.58000000000004</v>
      </c>
      <c r="B33">
        <v>700</v>
      </c>
      <c r="C33">
        <v>585</v>
      </c>
      <c r="D33" t="s">
        <v>5</v>
      </c>
      <c r="E33">
        <f>((B33/A33)-1/C33)</f>
        <v>1.1190437444047869</v>
      </c>
    </row>
    <row r="34" spans="1:5" x14ac:dyDescent="0.45">
      <c r="A34">
        <v>618.46</v>
      </c>
      <c r="B34">
        <v>700</v>
      </c>
      <c r="C34">
        <v>594</v>
      </c>
      <c r="D34" t="s">
        <v>4</v>
      </c>
      <c r="E34">
        <f>((B34/A34)-1/C34)</f>
        <v>1.1301601098677707</v>
      </c>
    </row>
    <row r="35" spans="1:5" x14ac:dyDescent="0.45">
      <c r="A35">
        <v>562.08000000000004</v>
      </c>
      <c r="B35">
        <v>636.96</v>
      </c>
      <c r="C35">
        <v>605</v>
      </c>
      <c r="D35" t="s">
        <v>4</v>
      </c>
      <c r="E35">
        <f>((B35/A35)-1/C35)</f>
        <v>1.1315665779760182</v>
      </c>
    </row>
    <row r="36" spans="1:5" x14ac:dyDescent="0.45">
      <c r="A36">
        <v>610.09</v>
      </c>
      <c r="B36">
        <v>695.05</v>
      </c>
      <c r="C36">
        <v>615</v>
      </c>
      <c r="D36" t="s">
        <v>5</v>
      </c>
      <c r="E36">
        <f>((B36/A36)-1/C36)</f>
        <v>1.1376321259811459</v>
      </c>
    </row>
    <row r="37" spans="1:5" x14ac:dyDescent="0.45">
      <c r="A37">
        <v>302.17</v>
      </c>
      <c r="B37">
        <v>344.82</v>
      </c>
      <c r="C37">
        <v>310</v>
      </c>
      <c r="D37" t="s">
        <v>4</v>
      </c>
      <c r="E37">
        <f>((B37/A37)-1/C37)</f>
        <v>1.1379199062266807</v>
      </c>
    </row>
    <row r="38" spans="1:5" x14ac:dyDescent="0.45">
      <c r="A38">
        <v>366.59</v>
      </c>
      <c r="B38">
        <v>420.69</v>
      </c>
      <c r="C38">
        <v>359</v>
      </c>
      <c r="D38" t="s">
        <v>4</v>
      </c>
      <c r="E38">
        <f>((B38/A38)-1/C38)</f>
        <v>1.1447907960902335</v>
      </c>
    </row>
    <row r="39" spans="1:5" x14ac:dyDescent="0.45">
      <c r="A39">
        <v>583.47</v>
      </c>
      <c r="B39">
        <v>672.66</v>
      </c>
      <c r="C39">
        <v>553</v>
      </c>
      <c r="D39" t="s">
        <v>4</v>
      </c>
      <c r="E39">
        <f>((B39/A39)-1/C39)</f>
        <v>1.151053011367329</v>
      </c>
    </row>
    <row r="40" spans="1:5" x14ac:dyDescent="0.45">
      <c r="A40">
        <v>575.24</v>
      </c>
      <c r="B40">
        <v>666.46</v>
      </c>
      <c r="C40">
        <v>567</v>
      </c>
      <c r="D40" t="s">
        <v>5</v>
      </c>
      <c r="E40">
        <f>((B40/A40)-1/C40)</f>
        <v>1.1568136210488389</v>
      </c>
    </row>
    <row r="41" spans="1:5" x14ac:dyDescent="0.45">
      <c r="A41">
        <v>364</v>
      </c>
      <c r="B41">
        <v>422.68</v>
      </c>
      <c r="C41">
        <v>288</v>
      </c>
      <c r="D41" t="s">
        <v>4</v>
      </c>
      <c r="E41">
        <f>((B41/A41)-1/C41)</f>
        <v>1.1577365689865688</v>
      </c>
    </row>
    <row r="42" spans="1:5" x14ac:dyDescent="0.45">
      <c r="A42">
        <v>539.19000000000005</v>
      </c>
      <c r="B42">
        <v>625.54</v>
      </c>
      <c r="C42">
        <v>577</v>
      </c>
      <c r="D42" t="s">
        <v>4</v>
      </c>
      <c r="E42">
        <f>((B42/A42)-1/C42)</f>
        <v>1.1584145265976504</v>
      </c>
    </row>
    <row r="43" spans="1:5" x14ac:dyDescent="0.45">
      <c r="A43">
        <v>506.91</v>
      </c>
      <c r="B43">
        <v>591.12</v>
      </c>
      <c r="C43">
        <v>483</v>
      </c>
      <c r="D43" t="s">
        <v>5</v>
      </c>
      <c r="E43">
        <f>((B43/A43)-1/C43)</f>
        <v>1.1640537706780492</v>
      </c>
    </row>
    <row r="44" spans="1:5" x14ac:dyDescent="0.45">
      <c r="A44">
        <v>422.52</v>
      </c>
      <c r="B44">
        <v>495.49</v>
      </c>
      <c r="C44">
        <v>477</v>
      </c>
      <c r="D44" t="s">
        <v>4</v>
      </c>
      <c r="E44">
        <f>((B44/A44)-1/C44)</f>
        <v>1.1706054478757884</v>
      </c>
    </row>
    <row r="45" spans="1:5" x14ac:dyDescent="0.45">
      <c r="A45">
        <v>218.89</v>
      </c>
      <c r="B45">
        <v>257.54000000000002</v>
      </c>
      <c r="C45">
        <v>286</v>
      </c>
      <c r="D45" t="s">
        <v>5</v>
      </c>
      <c r="E45">
        <f>((B45/A45)-1/C45)</f>
        <v>1.1730762042562493</v>
      </c>
    </row>
    <row r="46" spans="1:5" x14ac:dyDescent="0.45">
      <c r="A46">
        <v>460.26</v>
      </c>
      <c r="B46">
        <v>540.91</v>
      </c>
      <c r="C46">
        <v>487</v>
      </c>
      <c r="D46" t="s">
        <v>4</v>
      </c>
      <c r="E46">
        <f>((B46/A46)-1/C46)</f>
        <v>1.1731736574925824</v>
      </c>
    </row>
    <row r="47" spans="1:5" x14ac:dyDescent="0.45">
      <c r="A47">
        <v>399.54</v>
      </c>
      <c r="B47">
        <v>475.06</v>
      </c>
      <c r="C47">
        <v>386</v>
      </c>
      <c r="D47" t="s">
        <v>5</v>
      </c>
      <c r="E47">
        <f>((B47/A47)-1/C47)</f>
        <v>1.1864266964003423</v>
      </c>
    </row>
    <row r="48" spans="1:5" x14ac:dyDescent="0.45">
      <c r="A48">
        <v>266.13</v>
      </c>
      <c r="B48">
        <v>318.20999999999998</v>
      </c>
      <c r="C48">
        <v>288</v>
      </c>
      <c r="D48" t="s">
        <v>4</v>
      </c>
      <c r="E48">
        <f>((B48/A48)-1/C48)</f>
        <v>1.1922216116183819</v>
      </c>
    </row>
    <row r="49" spans="1:5" x14ac:dyDescent="0.45">
      <c r="A49">
        <v>557.9</v>
      </c>
      <c r="B49">
        <v>667.76</v>
      </c>
      <c r="C49">
        <v>530</v>
      </c>
      <c r="D49" t="s">
        <v>4</v>
      </c>
      <c r="E49">
        <f>((B49/A49)-1/C49)</f>
        <v>1.1950302177640544</v>
      </c>
    </row>
    <row r="50" spans="1:5" x14ac:dyDescent="0.45">
      <c r="A50">
        <v>468.2</v>
      </c>
      <c r="B50">
        <v>560.79999999999995</v>
      </c>
      <c r="C50">
        <v>484</v>
      </c>
      <c r="D50" t="s">
        <v>5</v>
      </c>
      <c r="E50">
        <f>((B50/A50)-1/C50)</f>
        <v>1.1957126113372474</v>
      </c>
    </row>
    <row r="51" spans="1:5" x14ac:dyDescent="0.45">
      <c r="A51">
        <v>419.19</v>
      </c>
      <c r="B51">
        <v>502.5</v>
      </c>
      <c r="C51">
        <v>474</v>
      </c>
      <c r="D51" t="s">
        <v>4</v>
      </c>
      <c r="E51">
        <f>((B51/A51)-1/C51)</f>
        <v>1.196630723326874</v>
      </c>
    </row>
    <row r="52" spans="1:5" x14ac:dyDescent="0.45">
      <c r="A52">
        <v>165.02</v>
      </c>
      <c r="B52">
        <v>199.51</v>
      </c>
      <c r="C52">
        <v>163</v>
      </c>
      <c r="D52" t="s">
        <v>4</v>
      </c>
      <c r="E52">
        <f>((B52/A52)-1/C52)</f>
        <v>1.2028699997695018</v>
      </c>
    </row>
    <row r="53" spans="1:5" x14ac:dyDescent="0.45">
      <c r="A53">
        <v>416.62</v>
      </c>
      <c r="B53">
        <v>502.61</v>
      </c>
      <c r="C53">
        <v>398</v>
      </c>
      <c r="D53" t="s">
        <v>4</v>
      </c>
      <c r="E53">
        <f>((B53/A53)-1/C53)</f>
        <v>1.2038865538870003</v>
      </c>
    </row>
    <row r="54" spans="1:5" x14ac:dyDescent="0.45">
      <c r="A54">
        <v>474.78</v>
      </c>
      <c r="B54">
        <v>572.77</v>
      </c>
      <c r="C54">
        <v>480</v>
      </c>
      <c r="D54" t="s">
        <v>5</v>
      </c>
      <c r="E54">
        <f>((B54/A54)-1/C54)</f>
        <v>1.2043069948186529</v>
      </c>
    </row>
    <row r="55" spans="1:5" x14ac:dyDescent="0.45">
      <c r="A55">
        <v>112.75</v>
      </c>
      <c r="B55">
        <v>137.9</v>
      </c>
      <c r="C55">
        <v>138</v>
      </c>
      <c r="D55" t="s">
        <v>4</v>
      </c>
      <c r="E55">
        <f>((B55/A55)-1/C55)</f>
        <v>1.2158134901507118</v>
      </c>
    </row>
    <row r="56" spans="1:5" x14ac:dyDescent="0.45">
      <c r="A56">
        <v>502.06</v>
      </c>
      <c r="B56">
        <v>611.77</v>
      </c>
      <c r="C56">
        <v>502</v>
      </c>
      <c r="D56" t="s">
        <v>4</v>
      </c>
      <c r="E56">
        <f>((B56/A56)-1/C56)</f>
        <v>1.2165276669682661</v>
      </c>
    </row>
    <row r="57" spans="1:5" x14ac:dyDescent="0.45">
      <c r="A57">
        <v>492.98</v>
      </c>
      <c r="B57">
        <v>601.69000000000005</v>
      </c>
      <c r="C57">
        <v>447</v>
      </c>
      <c r="D57" t="s">
        <v>4</v>
      </c>
      <c r="E57">
        <f>((B57/A57)-1/C57)</f>
        <v>1.2182789088103461</v>
      </c>
    </row>
    <row r="58" spans="1:5" x14ac:dyDescent="0.45">
      <c r="A58">
        <v>190.14</v>
      </c>
      <c r="B58">
        <v>233.9</v>
      </c>
      <c r="C58">
        <v>162</v>
      </c>
      <c r="D58" t="s">
        <v>4</v>
      </c>
      <c r="E58">
        <f>((B58/A58)-1/C58)</f>
        <v>1.2239733685510483</v>
      </c>
    </row>
    <row r="59" spans="1:5" x14ac:dyDescent="0.45">
      <c r="A59">
        <v>100.49</v>
      </c>
      <c r="B59">
        <v>124.18</v>
      </c>
      <c r="C59">
        <v>138</v>
      </c>
      <c r="D59" t="s">
        <v>4</v>
      </c>
      <c r="E59">
        <f>((B59/A59)-1/C59)</f>
        <v>1.2284984734222599</v>
      </c>
    </row>
    <row r="60" spans="1:5" x14ac:dyDescent="0.45">
      <c r="A60">
        <v>187.02</v>
      </c>
      <c r="B60">
        <v>231.22</v>
      </c>
      <c r="C60">
        <v>199</v>
      </c>
      <c r="D60" t="s">
        <v>5</v>
      </c>
      <c r="E60" s="1">
        <f>((B60/A60)-1/C60)</f>
        <v>1.231313233905599</v>
      </c>
    </row>
    <row r="61" spans="1:5" x14ac:dyDescent="0.45">
      <c r="A61">
        <v>299.83999999999997</v>
      </c>
      <c r="B61">
        <v>371.05</v>
      </c>
      <c r="C61">
        <v>286</v>
      </c>
      <c r="D61" t="s">
        <v>5</v>
      </c>
      <c r="E61" s="1">
        <f>((B61/A61)-1/C61)</f>
        <v>1.233996826279377</v>
      </c>
    </row>
    <row r="62" spans="1:5" x14ac:dyDescent="0.45">
      <c r="A62">
        <v>430.51</v>
      </c>
      <c r="B62">
        <v>540.23</v>
      </c>
      <c r="C62">
        <v>440</v>
      </c>
      <c r="D62" t="s">
        <v>5</v>
      </c>
      <c r="E62">
        <f>((B62/A62)-1/C62)</f>
        <v>1.2525877870010411</v>
      </c>
    </row>
    <row r="63" spans="1:5" x14ac:dyDescent="0.45">
      <c r="A63">
        <v>414.46</v>
      </c>
      <c r="B63">
        <v>524.5</v>
      </c>
      <c r="C63">
        <v>421</v>
      </c>
      <c r="D63" t="s">
        <v>5</v>
      </c>
      <c r="E63">
        <f>((B63/A63)-1/C63)</f>
        <v>1.2631268022048092</v>
      </c>
    </row>
    <row r="64" spans="1:5" x14ac:dyDescent="0.45">
      <c r="A64">
        <v>379.32</v>
      </c>
      <c r="B64">
        <v>481.04</v>
      </c>
      <c r="C64">
        <v>400</v>
      </c>
      <c r="D64" t="s">
        <v>4</v>
      </c>
      <c r="E64">
        <f>((B64/A64)-1/C64)</f>
        <v>1.2656640830960668</v>
      </c>
    </row>
    <row r="65" spans="1:5" x14ac:dyDescent="0.45">
      <c r="A65">
        <v>394.69</v>
      </c>
      <c r="B65">
        <v>502.42</v>
      </c>
      <c r="C65">
        <v>398</v>
      </c>
      <c r="D65" t="s">
        <v>5</v>
      </c>
      <c r="E65">
        <f>((B65/A65)-1/C65)</f>
        <v>1.2704358270615284</v>
      </c>
    </row>
    <row r="66" spans="1:5" x14ac:dyDescent="0.45">
      <c r="A66">
        <v>286.74</v>
      </c>
      <c r="B66">
        <v>365.83</v>
      </c>
      <c r="C66">
        <v>303</v>
      </c>
      <c r="D66" t="s">
        <v>4</v>
      </c>
      <c r="E66">
        <f>((B66/A66)-1/C66)</f>
        <v>1.27252445897446</v>
      </c>
    </row>
    <row r="67" spans="1:5" x14ac:dyDescent="0.45">
      <c r="A67">
        <v>204.05</v>
      </c>
      <c r="B67">
        <v>260.83</v>
      </c>
      <c r="C67">
        <v>232</v>
      </c>
      <c r="D67" t="s">
        <v>5</v>
      </c>
      <c r="E67">
        <f>((B67/A67)-1/C67)</f>
        <v>1.2739547862677334</v>
      </c>
    </row>
    <row r="68" spans="1:5" x14ac:dyDescent="0.45">
      <c r="A68">
        <v>319.08999999999997</v>
      </c>
      <c r="B68">
        <v>408.18</v>
      </c>
      <c r="C68">
        <v>350</v>
      </c>
      <c r="D68" t="s">
        <v>5</v>
      </c>
      <c r="E68">
        <f>((B68/A68)-1/C68)</f>
        <v>1.2763430827845257</v>
      </c>
    </row>
    <row r="69" spans="1:5" x14ac:dyDescent="0.45">
      <c r="A69">
        <v>307.25</v>
      </c>
      <c r="B69">
        <v>395.01</v>
      </c>
      <c r="C69">
        <v>264</v>
      </c>
      <c r="D69" t="s">
        <v>5</v>
      </c>
      <c r="E69">
        <f>((B69/A69)-1/C69)</f>
        <v>1.2818427151909657</v>
      </c>
    </row>
    <row r="70" spans="1:5" x14ac:dyDescent="0.45">
      <c r="A70">
        <v>150.72</v>
      </c>
      <c r="B70">
        <v>194.68</v>
      </c>
      <c r="C70">
        <v>159</v>
      </c>
      <c r="D70" t="s">
        <v>5</v>
      </c>
      <c r="E70">
        <f>((B70/A70)-1/C70)</f>
        <v>1.2853773584905661</v>
      </c>
    </row>
    <row r="71" spans="1:5" x14ac:dyDescent="0.45">
      <c r="A71">
        <v>279.7</v>
      </c>
      <c r="B71">
        <v>364.22</v>
      </c>
      <c r="C71">
        <v>384</v>
      </c>
      <c r="D71" t="s">
        <v>4</v>
      </c>
      <c r="E71">
        <f>((B71/A71)-1/C71)</f>
        <v>1.2995767414491719</v>
      </c>
    </row>
    <row r="72" spans="1:5" x14ac:dyDescent="0.45">
      <c r="A72">
        <v>272.37</v>
      </c>
      <c r="B72">
        <v>355.6</v>
      </c>
      <c r="C72">
        <v>239</v>
      </c>
      <c r="D72" t="s">
        <v>4</v>
      </c>
      <c r="E72">
        <f>((B72/A72)-1/C72)</f>
        <v>1.3013928720822325</v>
      </c>
    </row>
    <row r="73" spans="1:5" x14ac:dyDescent="0.45">
      <c r="A73">
        <v>355.5</v>
      </c>
      <c r="B73">
        <v>467.97</v>
      </c>
      <c r="C73">
        <v>350</v>
      </c>
      <c r="D73" t="s">
        <v>5</v>
      </c>
      <c r="E73">
        <f>((B73/A73)-1/C73)</f>
        <v>1.3135141651597348</v>
      </c>
    </row>
    <row r="74" spans="1:5" x14ac:dyDescent="0.45">
      <c r="A74">
        <v>353.14</v>
      </c>
      <c r="B74">
        <v>466.81</v>
      </c>
      <c r="C74">
        <v>329</v>
      </c>
      <c r="D74" t="s">
        <v>4</v>
      </c>
      <c r="E74">
        <f>((B74/A74)-1/C74)</f>
        <v>1.3188441585201836</v>
      </c>
    </row>
    <row r="75" spans="1:5" x14ac:dyDescent="0.45">
      <c r="A75">
        <v>213.56</v>
      </c>
      <c r="B75">
        <v>287.13</v>
      </c>
      <c r="C75">
        <v>354</v>
      </c>
      <c r="D75" t="s">
        <v>5</v>
      </c>
      <c r="E75">
        <f>((B75/A75)-1/C75)</f>
        <v>1.3416684920576971</v>
      </c>
    </row>
    <row r="76" spans="1:5" x14ac:dyDescent="0.45">
      <c r="A76">
        <v>232.69</v>
      </c>
      <c r="B76">
        <v>316.05</v>
      </c>
      <c r="C76">
        <v>246</v>
      </c>
      <c r="D76" t="s">
        <v>4</v>
      </c>
      <c r="E76">
        <f>((B76/A76)-1/C76)</f>
        <v>1.3541798345053802</v>
      </c>
    </row>
    <row r="77" spans="1:5" x14ac:dyDescent="0.45">
      <c r="A77">
        <v>107.12</v>
      </c>
      <c r="B77">
        <v>154.97999999999999</v>
      </c>
      <c r="C77">
        <v>152</v>
      </c>
      <c r="D77" t="s">
        <v>5</v>
      </c>
      <c r="E77">
        <f>((B77/A77)-1/C77)</f>
        <v>1.4402097008765378</v>
      </c>
    </row>
    <row r="78" spans="1:5" x14ac:dyDescent="0.45">
      <c r="A78">
        <v>204.83</v>
      </c>
      <c r="B78">
        <v>297.64999999999998</v>
      </c>
      <c r="C78">
        <v>182</v>
      </c>
      <c r="D78" t="s">
        <v>5</v>
      </c>
      <c r="E78">
        <f>((B78/A78)-1/C78)</f>
        <v>1.4476617704416366</v>
      </c>
    </row>
    <row r="79" spans="1:5" x14ac:dyDescent="0.45">
      <c r="A79">
        <v>207.57</v>
      </c>
      <c r="B79">
        <v>303.74</v>
      </c>
      <c r="C79">
        <v>228</v>
      </c>
      <c r="D79" t="s">
        <v>5</v>
      </c>
      <c r="E79">
        <f>((B79/A79)-1/C79)</f>
        <v>1.4589276160483593</v>
      </c>
    </row>
    <row r="80" spans="1:5" x14ac:dyDescent="0.45">
      <c r="A80">
        <v>223.42</v>
      </c>
      <c r="B80">
        <v>326.95</v>
      </c>
      <c r="C80">
        <v>286</v>
      </c>
      <c r="D80" t="s">
        <v>5</v>
      </c>
      <c r="E80">
        <f>((B80/A80)-1/C80)</f>
        <v>1.4598908387289016</v>
      </c>
    </row>
    <row r="81" spans="1:5" x14ac:dyDescent="0.45">
      <c r="A81">
        <v>136.34</v>
      </c>
      <c r="B81">
        <v>206.61</v>
      </c>
      <c r="C81">
        <v>89</v>
      </c>
      <c r="D81" t="s">
        <v>5</v>
      </c>
      <c r="E81">
        <f>((B81/A81)-1/C81)</f>
        <v>1.5041667147399183</v>
      </c>
    </row>
    <row r="82" spans="1:5" x14ac:dyDescent="0.45">
      <c r="A82">
        <v>134.68</v>
      </c>
      <c r="B82">
        <v>203.63</v>
      </c>
      <c r="C82">
        <v>134</v>
      </c>
      <c r="D82" t="s">
        <v>5</v>
      </c>
      <c r="E82">
        <f>((B82/A82)-1/C82)</f>
        <v>1.5044915753870978</v>
      </c>
    </row>
    <row r="83" spans="1:5" x14ac:dyDescent="0.45">
      <c r="A83">
        <v>162.44</v>
      </c>
      <c r="B83">
        <v>249.65</v>
      </c>
      <c r="C83">
        <v>221</v>
      </c>
      <c r="D83" t="s">
        <v>4</v>
      </c>
      <c r="E83">
        <f>((B83/A83)-1/C83)</f>
        <v>1.5323502670251516</v>
      </c>
    </row>
    <row r="84" spans="1:5" x14ac:dyDescent="0.45">
      <c r="A84">
        <v>186.04</v>
      </c>
      <c r="B84">
        <v>296.86</v>
      </c>
      <c r="C84">
        <v>120</v>
      </c>
      <c r="D84" t="s">
        <v>5</v>
      </c>
      <c r="E84">
        <f>((B84/A84)-1/C84)</f>
        <v>1.5873450154088729</v>
      </c>
    </row>
    <row r="85" spans="1:5" x14ac:dyDescent="0.45">
      <c r="A85">
        <v>75.02</v>
      </c>
      <c r="B85">
        <v>120.2</v>
      </c>
      <c r="C85">
        <v>82</v>
      </c>
      <c r="D85" t="s">
        <v>4</v>
      </c>
      <c r="E85">
        <f>((B85/A85)-1/C85)</f>
        <v>1.5900442808746937</v>
      </c>
    </row>
    <row r="86" spans="1:5" x14ac:dyDescent="0.45">
      <c r="A86">
        <v>99.69</v>
      </c>
      <c r="B86">
        <v>169.41</v>
      </c>
      <c r="C86">
        <v>66</v>
      </c>
      <c r="D86" t="s">
        <v>5</v>
      </c>
      <c r="E86">
        <f>((B86/A86)-1/C86)</f>
        <v>1.6842165257753581</v>
      </c>
    </row>
    <row r="87" spans="1:5" x14ac:dyDescent="0.45">
      <c r="A87">
        <v>163.66</v>
      </c>
      <c r="B87">
        <v>282.23</v>
      </c>
      <c r="C87">
        <v>186</v>
      </c>
      <c r="D87" t="s">
        <v>5</v>
      </c>
      <c r="E87">
        <f>((B87/A87)-1/C87)</f>
        <v>1.7191134518323461</v>
      </c>
    </row>
    <row r="88" spans="1:5" x14ac:dyDescent="0.45">
      <c r="A88">
        <v>40.130000000000003</v>
      </c>
      <c r="B88">
        <v>72.12</v>
      </c>
      <c r="C88">
        <v>13</v>
      </c>
      <c r="D88" t="s">
        <v>5</v>
      </c>
      <c r="E88">
        <f>((B88/A88)-1/C88)</f>
        <v>1.7202361555713164</v>
      </c>
    </row>
    <row r="89" spans="1:5" x14ac:dyDescent="0.45">
      <c r="A89">
        <v>91.3</v>
      </c>
      <c r="B89">
        <v>163.18</v>
      </c>
      <c r="C89">
        <v>17</v>
      </c>
      <c r="D89" t="s">
        <v>5</v>
      </c>
      <c r="E89">
        <f>((B89/A89)-1/C89)</f>
        <v>1.728471103666001</v>
      </c>
    </row>
    <row r="90" spans="1:5" x14ac:dyDescent="0.45">
      <c r="A90">
        <v>64.45</v>
      </c>
      <c r="B90">
        <v>112.94</v>
      </c>
      <c r="C90">
        <v>92</v>
      </c>
      <c r="D90" t="s">
        <v>5</v>
      </c>
      <c r="E90">
        <f>((B90/A90)-1/C90)</f>
        <v>1.7414966101123215</v>
      </c>
    </row>
    <row r="91" spans="1:5" x14ac:dyDescent="0.45">
      <c r="A91">
        <v>68.98</v>
      </c>
      <c r="B91">
        <v>122.75</v>
      </c>
      <c r="C91">
        <v>110</v>
      </c>
      <c r="D91" t="s">
        <v>5</v>
      </c>
      <c r="E91">
        <f>((B91/A91)-1/C91)</f>
        <v>1.7704103956350985</v>
      </c>
    </row>
    <row r="92" spans="1:5" x14ac:dyDescent="0.45">
      <c r="A92">
        <v>96.19</v>
      </c>
      <c r="B92">
        <v>177.15</v>
      </c>
      <c r="C92">
        <v>125</v>
      </c>
      <c r="D92" t="s">
        <v>5</v>
      </c>
      <c r="E92">
        <f>((B92/A92)-1/C92)</f>
        <v>1.8336675330075893</v>
      </c>
    </row>
    <row r="93" spans="1:5" x14ac:dyDescent="0.45">
      <c r="A93">
        <v>52.77</v>
      </c>
      <c r="B93">
        <v>102.86</v>
      </c>
      <c r="C93">
        <v>53</v>
      </c>
      <c r="D93" t="s">
        <v>5</v>
      </c>
      <c r="E93">
        <f>((B93/A93)-1/C93)</f>
        <v>1.9303456437870288</v>
      </c>
    </row>
    <row r="94" spans="1:5" x14ac:dyDescent="0.45">
      <c r="A94">
        <v>54.02</v>
      </c>
      <c r="B94">
        <v>110.38</v>
      </c>
      <c r="C94">
        <v>56</v>
      </c>
      <c r="D94" t="s">
        <v>5</v>
      </c>
      <c r="E94">
        <f>((B94/A94)-1/C94)</f>
        <v>2.0254601470354894</v>
      </c>
    </row>
    <row r="95" spans="1:5" x14ac:dyDescent="0.45">
      <c r="A95">
        <v>77.97</v>
      </c>
      <c r="B95">
        <v>168.28</v>
      </c>
      <c r="C95">
        <v>70</v>
      </c>
      <c r="D95" t="s">
        <v>5</v>
      </c>
      <c r="E95">
        <f>((B95/A95)-1/C95)</f>
        <v>2.143980285457777</v>
      </c>
    </row>
    <row r="96" spans="1:5" x14ac:dyDescent="0.45">
      <c r="A96">
        <v>39</v>
      </c>
      <c r="B96">
        <v>91.32</v>
      </c>
      <c r="C96">
        <v>16</v>
      </c>
      <c r="D96" t="s">
        <v>5</v>
      </c>
      <c r="E96">
        <f>((B96/A96)-1/C96)</f>
        <v>2.2790384615384616</v>
      </c>
    </row>
    <row r="97" spans="1:5" x14ac:dyDescent="0.45">
      <c r="A97">
        <v>86.29</v>
      </c>
      <c r="B97">
        <v>203.47</v>
      </c>
      <c r="C97">
        <v>91</v>
      </c>
      <c r="D97" t="s">
        <v>5</v>
      </c>
      <c r="E97">
        <f>((B97/A97)-1/C97)</f>
        <v>2.3469898973433563</v>
      </c>
    </row>
    <row r="98" spans="1:5" x14ac:dyDescent="0.45">
      <c r="A98">
        <v>68.11</v>
      </c>
      <c r="B98">
        <v>184.36</v>
      </c>
      <c r="C98">
        <v>91</v>
      </c>
      <c r="D98" t="s">
        <v>5</v>
      </c>
      <c r="E98">
        <f>((B98/A98)-1/C98)</f>
        <v>2.6958088160554761</v>
      </c>
    </row>
    <row r="99" spans="1:5" x14ac:dyDescent="0.45">
      <c r="A99">
        <v>22.42</v>
      </c>
      <c r="B99">
        <v>84.16</v>
      </c>
      <c r="C99">
        <v>7</v>
      </c>
      <c r="D99" t="s">
        <v>5</v>
      </c>
      <c r="E99">
        <f>((B99/A99)-1/C99)</f>
        <v>3.6109341149483876</v>
      </c>
    </row>
    <row r="100" spans="1:5" x14ac:dyDescent="0.45">
      <c r="A100">
        <v>13.51</v>
      </c>
      <c r="B100">
        <v>55.72</v>
      </c>
      <c r="C100">
        <v>58</v>
      </c>
      <c r="D100" t="s">
        <v>5</v>
      </c>
      <c r="E100">
        <f>((B100/A100)-1/C100)</f>
        <v>4.107110952295872</v>
      </c>
    </row>
    <row r="101" spans="1:5" x14ac:dyDescent="0.45">
      <c r="A101">
        <v>32.020000000000003</v>
      </c>
      <c r="B101">
        <v>146.32</v>
      </c>
      <c r="C101">
        <v>54</v>
      </c>
      <c r="D101" t="s">
        <v>5</v>
      </c>
      <c r="E101">
        <f>((B101/A101)-1/C101)</f>
        <v>4.5511254539986581</v>
      </c>
    </row>
  </sheetData>
  <sortState xmlns:xlrd2="http://schemas.microsoft.com/office/spreadsheetml/2017/richdata2" ref="A2:E103">
    <sortCondition ref="E1:E10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3950-4E76-439D-92D4-DF2C59AD4A3E}">
  <dimension ref="A1:H101"/>
  <sheetViews>
    <sheetView workbookViewId="0">
      <selection activeCell="H4" sqref="H4"/>
    </sheetView>
  </sheetViews>
  <sheetFormatPr defaultRowHeight="14.25" x14ac:dyDescent="0.45"/>
  <cols>
    <col min="4" max="4" width="13.73046875" customWidth="1"/>
    <col min="5" max="5" width="16.531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8" x14ac:dyDescent="0.45">
      <c r="A2">
        <v>694.14</v>
      </c>
      <c r="B2">
        <v>700</v>
      </c>
      <c r="C2">
        <v>714</v>
      </c>
      <c r="D2" t="s">
        <v>5</v>
      </c>
      <c r="E2">
        <f>((B2/A2)-1)/C2</f>
        <v>1.1823670892277125E-5</v>
      </c>
    </row>
    <row r="3" spans="1:8" x14ac:dyDescent="0.45">
      <c r="A3">
        <v>693.16</v>
      </c>
      <c r="B3">
        <v>700</v>
      </c>
      <c r="C3">
        <v>664</v>
      </c>
      <c r="D3" t="s">
        <v>5</v>
      </c>
      <c r="E3">
        <f>((B3/A3)-1)/C3</f>
        <v>1.4861222256444723E-5</v>
      </c>
      <c r="G3" t="s">
        <v>9</v>
      </c>
      <c r="H3">
        <f>GEOMEAN(E26:E27)</f>
        <v>2.2616734003239313E-4</v>
      </c>
    </row>
    <row r="4" spans="1:8" x14ac:dyDescent="0.45">
      <c r="A4">
        <v>692.59</v>
      </c>
      <c r="B4">
        <v>700</v>
      </c>
      <c r="C4">
        <v>686</v>
      </c>
      <c r="D4" t="s">
        <v>4</v>
      </c>
      <c r="E4">
        <f>((B4/A4)-1)/C4</f>
        <v>1.5596166954673086E-5</v>
      </c>
    </row>
    <row r="5" spans="1:8" x14ac:dyDescent="0.45">
      <c r="A5">
        <v>686.49</v>
      </c>
      <c r="B5">
        <v>700</v>
      </c>
      <c r="C5">
        <v>714</v>
      </c>
      <c r="D5" t="s">
        <v>4</v>
      </c>
      <c r="E5">
        <f>((B5/A5)-1)/C5</f>
        <v>2.7562773860436321E-5</v>
      </c>
    </row>
    <row r="6" spans="1:8" x14ac:dyDescent="0.45">
      <c r="A6">
        <v>553.27</v>
      </c>
      <c r="B6">
        <v>574.19000000000005</v>
      </c>
      <c r="C6">
        <v>560</v>
      </c>
      <c r="D6" t="s">
        <v>4</v>
      </c>
      <c r="E6">
        <f>((B6/A6)-1)/C6</f>
        <v>6.7520637043655014E-5</v>
      </c>
    </row>
    <row r="7" spans="1:8" x14ac:dyDescent="0.45">
      <c r="A7">
        <v>633.66</v>
      </c>
      <c r="B7">
        <v>663.03</v>
      </c>
      <c r="C7">
        <v>638</v>
      </c>
      <c r="D7" t="s">
        <v>4</v>
      </c>
      <c r="E7">
        <f>((B7/A7)-1)/C7</f>
        <v>7.2648554048891713E-5</v>
      </c>
    </row>
    <row r="8" spans="1:8" x14ac:dyDescent="0.45">
      <c r="A8">
        <v>555.92999999999995</v>
      </c>
      <c r="B8">
        <v>576.44000000000005</v>
      </c>
      <c r="C8">
        <v>507</v>
      </c>
      <c r="D8" t="s">
        <v>5</v>
      </c>
      <c r="E8">
        <f>((B8/A8)-1)/C8</f>
        <v>7.2767522737012777E-5</v>
      </c>
    </row>
    <row r="9" spans="1:8" x14ac:dyDescent="0.45">
      <c r="A9">
        <v>668.46</v>
      </c>
      <c r="B9">
        <v>700</v>
      </c>
      <c r="C9">
        <v>601</v>
      </c>
      <c r="D9" t="s">
        <v>5</v>
      </c>
      <c r="E9">
        <f>((B9/A9)-1)/C9</f>
        <v>7.850761650826493E-5</v>
      </c>
    </row>
    <row r="10" spans="1:8" x14ac:dyDescent="0.45">
      <c r="A10">
        <v>541.87</v>
      </c>
      <c r="B10">
        <v>572.02</v>
      </c>
      <c r="C10">
        <v>603</v>
      </c>
      <c r="D10" t="s">
        <v>4</v>
      </c>
      <c r="E10">
        <f>((B10/A10)-1)/C10</f>
        <v>9.2273054422647435E-5</v>
      </c>
    </row>
    <row r="11" spans="1:8" x14ac:dyDescent="0.45">
      <c r="A11">
        <v>655.35</v>
      </c>
      <c r="B11">
        <v>700</v>
      </c>
      <c r="C11">
        <v>708</v>
      </c>
      <c r="D11" t="s">
        <v>5</v>
      </c>
      <c r="E11">
        <f>((B11/A11)-1)/C11</f>
        <v>9.6230978486934332E-5</v>
      </c>
    </row>
    <row r="12" spans="1:8" x14ac:dyDescent="0.45">
      <c r="A12">
        <v>543.29999999999995</v>
      </c>
      <c r="B12">
        <v>571.71</v>
      </c>
      <c r="C12">
        <v>484</v>
      </c>
      <c r="D12" t="s">
        <v>5</v>
      </c>
      <c r="E12">
        <f>((B12/A12)-1)/C12</f>
        <v>1.080403959275504E-4</v>
      </c>
    </row>
    <row r="13" spans="1:8" x14ac:dyDescent="0.45">
      <c r="A13">
        <v>635.53</v>
      </c>
      <c r="B13">
        <v>679.93</v>
      </c>
      <c r="C13">
        <v>629</v>
      </c>
      <c r="D13" t="s">
        <v>5</v>
      </c>
      <c r="E13">
        <f>((B13/A13)-1)/C13</f>
        <v>1.1106987127927513E-4</v>
      </c>
    </row>
    <row r="14" spans="1:8" x14ac:dyDescent="0.45">
      <c r="A14">
        <v>649.99</v>
      </c>
      <c r="B14">
        <v>700</v>
      </c>
      <c r="C14">
        <v>662</v>
      </c>
      <c r="D14" t="s">
        <v>5</v>
      </c>
      <c r="E14">
        <f>((B14/A14)-1)/C14</f>
        <v>1.1622302904125536E-4</v>
      </c>
    </row>
    <row r="15" spans="1:8" x14ac:dyDescent="0.45">
      <c r="A15">
        <v>575.53</v>
      </c>
      <c r="B15">
        <v>617.96</v>
      </c>
      <c r="C15">
        <v>611</v>
      </c>
      <c r="D15" t="s">
        <v>4</v>
      </c>
      <c r="E15">
        <f>((B15/A15)-1)/C15</f>
        <v>1.2066014836449211E-4</v>
      </c>
    </row>
    <row r="16" spans="1:8" x14ac:dyDescent="0.45">
      <c r="A16">
        <v>589.88</v>
      </c>
      <c r="B16">
        <v>633.61</v>
      </c>
      <c r="C16">
        <v>600</v>
      </c>
      <c r="D16" t="s">
        <v>4</v>
      </c>
      <c r="E16">
        <f>((B16/A16)-1)/C16</f>
        <v>1.2355620352162014E-4</v>
      </c>
    </row>
    <row r="17" spans="1:5" x14ac:dyDescent="0.45">
      <c r="A17">
        <v>510.92</v>
      </c>
      <c r="B17">
        <v>547.09</v>
      </c>
      <c r="C17">
        <v>564</v>
      </c>
      <c r="D17" t="s">
        <v>4</v>
      </c>
      <c r="E17">
        <f>((B17/A17)-1)/C17</f>
        <v>1.2552103200845301E-4</v>
      </c>
    </row>
    <row r="18" spans="1:5" x14ac:dyDescent="0.45">
      <c r="A18">
        <v>510.92</v>
      </c>
      <c r="B18">
        <v>547</v>
      </c>
      <c r="C18">
        <v>545</v>
      </c>
      <c r="D18" t="s">
        <v>5</v>
      </c>
      <c r="E18">
        <f>((B18/A18)-1)/C18</f>
        <v>1.2957377840441814E-4</v>
      </c>
    </row>
    <row r="19" spans="1:5" x14ac:dyDescent="0.45">
      <c r="A19">
        <v>639.70000000000005</v>
      </c>
      <c r="B19">
        <v>700</v>
      </c>
      <c r="C19">
        <v>686</v>
      </c>
      <c r="D19" t="s">
        <v>4</v>
      </c>
      <c r="E19">
        <f>((B19/A19)-1)/C19</f>
        <v>1.3740952733401357E-4</v>
      </c>
    </row>
    <row r="20" spans="1:5" x14ac:dyDescent="0.45">
      <c r="A20">
        <v>643.13</v>
      </c>
      <c r="B20">
        <v>700</v>
      </c>
      <c r="C20">
        <v>593</v>
      </c>
      <c r="D20" t="s">
        <v>5</v>
      </c>
      <c r="E20">
        <f>((B20/A20)-1)/C20</f>
        <v>1.4911789567091104E-4</v>
      </c>
    </row>
    <row r="21" spans="1:5" x14ac:dyDescent="0.45">
      <c r="A21">
        <v>632.28</v>
      </c>
      <c r="B21">
        <v>684.82</v>
      </c>
      <c r="C21">
        <v>512</v>
      </c>
      <c r="D21" t="s">
        <v>5</v>
      </c>
      <c r="E21">
        <f>((B21/A21)-1)/C21</f>
        <v>1.622970638008479E-4</v>
      </c>
    </row>
    <row r="22" spans="1:5" x14ac:dyDescent="0.45">
      <c r="A22">
        <v>416.2</v>
      </c>
      <c r="B22">
        <v>445.51</v>
      </c>
      <c r="C22">
        <v>366</v>
      </c>
      <c r="D22" t="s">
        <v>5</v>
      </c>
      <c r="E22">
        <f>((B22/A22)-1)/C22</f>
        <v>1.9241222300123682E-4</v>
      </c>
    </row>
    <row r="23" spans="1:5" x14ac:dyDescent="0.45">
      <c r="A23">
        <v>624.58000000000004</v>
      </c>
      <c r="B23">
        <v>700</v>
      </c>
      <c r="C23">
        <v>585</v>
      </c>
      <c r="D23" t="s">
        <v>5</v>
      </c>
      <c r="E23">
        <f>((B23/A23)-1)/C23</f>
        <v>2.0641563438322845E-4</v>
      </c>
    </row>
    <row r="24" spans="1:5" x14ac:dyDescent="0.45">
      <c r="A24">
        <v>562.08000000000004</v>
      </c>
      <c r="B24">
        <v>636.96</v>
      </c>
      <c r="C24">
        <v>605</v>
      </c>
      <c r="D24" t="s">
        <v>5</v>
      </c>
      <c r="E24">
        <f>((B24/A24)-1)/C24</f>
        <v>2.2019747196363909E-4</v>
      </c>
    </row>
    <row r="25" spans="1:5" x14ac:dyDescent="0.45">
      <c r="A25">
        <v>618.46</v>
      </c>
      <c r="B25">
        <v>700</v>
      </c>
      <c r="C25">
        <v>594</v>
      </c>
      <c r="D25" t="s">
        <v>5</v>
      </c>
      <c r="E25">
        <f>((B25/A25)-1)/C25</f>
        <v>2.2195894200550915E-4</v>
      </c>
    </row>
    <row r="26" spans="1:5" x14ac:dyDescent="0.45">
      <c r="A26">
        <v>445.6</v>
      </c>
      <c r="B26">
        <v>489.79</v>
      </c>
      <c r="C26">
        <v>439</v>
      </c>
      <c r="D26" t="s">
        <v>4</v>
      </c>
      <c r="E26" s="1">
        <f>((B26/A26)-1)/C26</f>
        <v>2.2589899518654668E-4</v>
      </c>
    </row>
    <row r="27" spans="1:5" x14ac:dyDescent="0.45">
      <c r="A27">
        <v>610.09</v>
      </c>
      <c r="B27">
        <v>695.05</v>
      </c>
      <c r="C27">
        <v>615</v>
      </c>
      <c r="D27" t="s">
        <v>5</v>
      </c>
      <c r="E27" s="1">
        <f>((B27/A27)-1)/C27</f>
        <v>2.2643600364440425E-4</v>
      </c>
    </row>
    <row r="28" spans="1:5" x14ac:dyDescent="0.45">
      <c r="A28">
        <v>496.94</v>
      </c>
      <c r="B28">
        <v>551.86</v>
      </c>
      <c r="C28">
        <v>459</v>
      </c>
      <c r="D28" t="s">
        <v>5</v>
      </c>
      <c r="E28">
        <f>((B28/A28)-1)/C28</f>
        <v>2.4077638371232835E-4</v>
      </c>
    </row>
    <row r="29" spans="1:5" x14ac:dyDescent="0.45">
      <c r="A29">
        <v>300.04000000000002</v>
      </c>
      <c r="B29">
        <v>321.7</v>
      </c>
      <c r="C29">
        <v>287</v>
      </c>
      <c r="D29" t="s">
        <v>4</v>
      </c>
      <c r="E29">
        <f>((B29/A29)-1)/C29</f>
        <v>2.5153440633002657E-4</v>
      </c>
    </row>
    <row r="30" spans="1:5" x14ac:dyDescent="0.45">
      <c r="A30">
        <v>476.37</v>
      </c>
      <c r="B30">
        <v>530.28</v>
      </c>
      <c r="C30">
        <v>431</v>
      </c>
      <c r="D30" t="s">
        <v>4</v>
      </c>
      <c r="E30">
        <f>((B30/A30)-1)/C30</f>
        <v>2.6257154417053916E-4</v>
      </c>
    </row>
    <row r="31" spans="1:5" x14ac:dyDescent="0.45">
      <c r="A31">
        <v>355.83</v>
      </c>
      <c r="B31">
        <v>387.17</v>
      </c>
      <c r="C31">
        <v>332</v>
      </c>
      <c r="D31" t="s">
        <v>4</v>
      </c>
      <c r="E31">
        <f>((B31/A31)-1)/C31</f>
        <v>2.6528845336662411E-4</v>
      </c>
    </row>
    <row r="32" spans="1:5" x14ac:dyDescent="0.45">
      <c r="A32">
        <v>583.47</v>
      </c>
      <c r="B32">
        <v>672.66</v>
      </c>
      <c r="C32">
        <v>553</v>
      </c>
      <c r="D32" t="s">
        <v>5</v>
      </c>
      <c r="E32">
        <f>((B32/A32)-1)/C32</f>
        <v>2.7642193423389413E-4</v>
      </c>
    </row>
    <row r="33" spans="1:5" x14ac:dyDescent="0.45">
      <c r="A33">
        <v>539.19000000000005</v>
      </c>
      <c r="B33">
        <v>625.54</v>
      </c>
      <c r="C33">
        <v>577</v>
      </c>
      <c r="D33" t="s">
        <v>4</v>
      </c>
      <c r="E33">
        <f>((B33/A33)-1)/C33</f>
        <v>2.7755221637900057E-4</v>
      </c>
    </row>
    <row r="34" spans="1:5" x14ac:dyDescent="0.45">
      <c r="A34">
        <v>575.24</v>
      </c>
      <c r="B34">
        <v>666.46</v>
      </c>
      <c r="C34">
        <v>567</v>
      </c>
      <c r="D34" t="s">
        <v>5</v>
      </c>
      <c r="E34">
        <f>((B34/A34)-1)/C34</f>
        <v>2.7967775922252896E-4</v>
      </c>
    </row>
    <row r="35" spans="1:5" x14ac:dyDescent="0.45">
      <c r="A35">
        <v>307.44</v>
      </c>
      <c r="B35">
        <v>341.19</v>
      </c>
      <c r="C35">
        <v>383</v>
      </c>
      <c r="D35" t="s">
        <v>4</v>
      </c>
      <c r="E35">
        <f>((B35/A35)-1)/C35</f>
        <v>2.8662537223081696E-4</v>
      </c>
    </row>
    <row r="36" spans="1:5" x14ac:dyDescent="0.45">
      <c r="A36">
        <v>412.14</v>
      </c>
      <c r="B36">
        <v>457.93</v>
      </c>
      <c r="C36">
        <v>363</v>
      </c>
      <c r="D36" t="s">
        <v>5</v>
      </c>
      <c r="E36">
        <f>((B36/A36)-1)/C36</f>
        <v>3.0606893455793028E-4</v>
      </c>
    </row>
    <row r="37" spans="1:5" x14ac:dyDescent="0.45">
      <c r="A37">
        <v>506.91</v>
      </c>
      <c r="B37">
        <v>591.12</v>
      </c>
      <c r="C37">
        <v>483</v>
      </c>
      <c r="D37" t="s">
        <v>5</v>
      </c>
      <c r="E37">
        <f>((B37/A37)-1)/C37</f>
        <v>3.4394236863931761E-4</v>
      </c>
    </row>
    <row r="38" spans="1:5" x14ac:dyDescent="0.45">
      <c r="A38">
        <v>460.26</v>
      </c>
      <c r="B38">
        <v>540.91</v>
      </c>
      <c r="C38">
        <v>487</v>
      </c>
      <c r="D38" t="s">
        <v>5</v>
      </c>
      <c r="E38">
        <f>((B38/A38)-1)/C38</f>
        <v>3.5980912850704609E-4</v>
      </c>
    </row>
    <row r="39" spans="1:5" x14ac:dyDescent="0.45">
      <c r="A39">
        <v>422.52</v>
      </c>
      <c r="B39">
        <v>495.49</v>
      </c>
      <c r="C39">
        <v>477</v>
      </c>
      <c r="D39" t="s">
        <v>5</v>
      </c>
      <c r="E39">
        <f>((B39/A39)-1)/C39</f>
        <v>3.6205845688572008E-4</v>
      </c>
    </row>
    <row r="40" spans="1:5" x14ac:dyDescent="0.45">
      <c r="A40">
        <v>557.9</v>
      </c>
      <c r="B40">
        <v>667.76</v>
      </c>
      <c r="C40">
        <v>530</v>
      </c>
      <c r="D40" t="s">
        <v>5</v>
      </c>
      <c r="E40">
        <f>((B40/A40)-1)/C40</f>
        <v>3.7154152871110319E-4</v>
      </c>
    </row>
    <row r="41" spans="1:5" x14ac:dyDescent="0.45">
      <c r="A41">
        <v>241.64</v>
      </c>
      <c r="B41">
        <v>265.72000000000003</v>
      </c>
      <c r="C41">
        <v>264</v>
      </c>
      <c r="D41" t="s">
        <v>4</v>
      </c>
      <c r="E41">
        <f>((B41/A41)-1)/C41</f>
        <v>3.7747111907019272E-4</v>
      </c>
    </row>
    <row r="42" spans="1:5" x14ac:dyDescent="0.45">
      <c r="A42">
        <v>468.2</v>
      </c>
      <c r="B42">
        <v>560.79999999999995</v>
      </c>
      <c r="C42">
        <v>484</v>
      </c>
      <c r="D42" t="s">
        <v>5</v>
      </c>
      <c r="E42">
        <f>((B42/A42)-1)/C42</f>
        <v>4.0863373355315424E-4</v>
      </c>
    </row>
    <row r="43" spans="1:5" x14ac:dyDescent="0.45">
      <c r="A43">
        <v>366.59</v>
      </c>
      <c r="B43">
        <v>420.69</v>
      </c>
      <c r="C43">
        <v>359</v>
      </c>
      <c r="D43" t="s">
        <v>5</v>
      </c>
      <c r="E43">
        <f>((B43/A43)-1)/C43</f>
        <v>4.110760763525563E-4</v>
      </c>
    </row>
    <row r="44" spans="1:5" x14ac:dyDescent="0.45">
      <c r="A44">
        <v>267.52999999999997</v>
      </c>
      <c r="B44">
        <v>296.56</v>
      </c>
      <c r="C44">
        <v>262</v>
      </c>
      <c r="D44" t="s">
        <v>4</v>
      </c>
      <c r="E44">
        <f>((B44/A44)-1)/C44</f>
        <v>4.1416486643575454E-4</v>
      </c>
    </row>
    <row r="45" spans="1:5" x14ac:dyDescent="0.45">
      <c r="A45">
        <v>419.19</v>
      </c>
      <c r="B45">
        <v>502.5</v>
      </c>
      <c r="C45">
        <v>474</v>
      </c>
      <c r="D45" t="s">
        <v>4</v>
      </c>
      <c r="E45">
        <f>((B45/A45)-1)/C45</f>
        <v>4.1928360330849014E-4</v>
      </c>
    </row>
    <row r="46" spans="1:5" x14ac:dyDescent="0.45">
      <c r="A46">
        <v>474.78</v>
      </c>
      <c r="B46">
        <v>572.77</v>
      </c>
      <c r="C46">
        <v>480</v>
      </c>
      <c r="D46" t="s">
        <v>5</v>
      </c>
      <c r="E46">
        <f>((B46/A46)-1)/C46</f>
        <v>4.2997985031663816E-4</v>
      </c>
    </row>
    <row r="47" spans="1:5" x14ac:dyDescent="0.45">
      <c r="A47">
        <v>502.06</v>
      </c>
      <c r="B47">
        <v>611.77</v>
      </c>
      <c r="C47">
        <v>502</v>
      </c>
      <c r="D47" t="s">
        <v>4</v>
      </c>
      <c r="E47">
        <f>((B47/A47)-1)/C47</f>
        <v>4.3529820486210366E-4</v>
      </c>
    </row>
    <row r="48" spans="1:5" x14ac:dyDescent="0.45">
      <c r="A48">
        <v>302.17</v>
      </c>
      <c r="B48">
        <v>344.82</v>
      </c>
      <c r="C48">
        <v>310</v>
      </c>
      <c r="D48" t="s">
        <v>4</v>
      </c>
      <c r="E48">
        <f>((B48/A48)-1)/C48</f>
        <v>4.5530875057514053E-4</v>
      </c>
    </row>
    <row r="49" spans="1:5" x14ac:dyDescent="0.45">
      <c r="A49">
        <v>305.64</v>
      </c>
      <c r="B49">
        <v>343.08</v>
      </c>
      <c r="C49">
        <v>266</v>
      </c>
      <c r="D49" t="s">
        <v>4</v>
      </c>
      <c r="E49">
        <f>((B49/A49)-1)/C49</f>
        <v>4.6051524571145172E-4</v>
      </c>
    </row>
    <row r="50" spans="1:5" x14ac:dyDescent="0.45">
      <c r="A50">
        <v>399.54</v>
      </c>
      <c r="B50">
        <v>475.06</v>
      </c>
      <c r="C50">
        <v>386</v>
      </c>
      <c r="D50" t="s">
        <v>5</v>
      </c>
      <c r="E50">
        <f>((B50/A50)-1)/C50</f>
        <v>4.8968230563593731E-4</v>
      </c>
    </row>
    <row r="51" spans="1:5" x14ac:dyDescent="0.45">
      <c r="A51">
        <v>492.98</v>
      </c>
      <c r="B51">
        <v>601.69000000000005</v>
      </c>
      <c r="C51">
        <v>447</v>
      </c>
      <c r="D51" t="s">
        <v>5</v>
      </c>
      <c r="E51">
        <f>((B51/A51)-1)/C51</f>
        <v>4.9332448607532545E-4</v>
      </c>
    </row>
    <row r="52" spans="1:5" x14ac:dyDescent="0.45">
      <c r="A52">
        <v>416.62</v>
      </c>
      <c r="B52">
        <v>502.61</v>
      </c>
      <c r="C52">
        <v>398</v>
      </c>
      <c r="D52" t="s">
        <v>5</v>
      </c>
      <c r="E52">
        <f>((B52/A52)-1)/C52</f>
        <v>5.1859074548007685E-4</v>
      </c>
    </row>
    <row r="53" spans="1:5" x14ac:dyDescent="0.45">
      <c r="A53">
        <v>364</v>
      </c>
      <c r="B53">
        <v>422.68</v>
      </c>
      <c r="C53">
        <v>288</v>
      </c>
      <c r="D53" t="s">
        <v>4</v>
      </c>
      <c r="E53">
        <f>((B53/A53)-1)/C53</f>
        <v>5.5975274725274715E-4</v>
      </c>
    </row>
    <row r="54" spans="1:5" x14ac:dyDescent="0.45">
      <c r="A54">
        <v>430.51</v>
      </c>
      <c r="B54">
        <v>540.23</v>
      </c>
      <c r="C54">
        <v>440</v>
      </c>
      <c r="D54" t="s">
        <v>4</v>
      </c>
      <c r="E54">
        <f>((B54/A54)-1)/C54</f>
        <v>5.7922844153129166E-4</v>
      </c>
    </row>
    <row r="55" spans="1:5" x14ac:dyDescent="0.45">
      <c r="A55">
        <v>218.89</v>
      </c>
      <c r="B55">
        <v>257.54000000000002</v>
      </c>
      <c r="C55">
        <v>286</v>
      </c>
      <c r="D55" t="s">
        <v>4</v>
      </c>
      <c r="E55">
        <f>((B55/A55)-1)/C55</f>
        <v>6.1738709004459022E-4</v>
      </c>
    </row>
    <row r="56" spans="1:5" x14ac:dyDescent="0.45">
      <c r="A56">
        <v>414.46</v>
      </c>
      <c r="B56">
        <v>524.5</v>
      </c>
      <c r="C56">
        <v>421</v>
      </c>
      <c r="D56" t="s">
        <v>5</v>
      </c>
      <c r="E56">
        <f>((B56/A56)-1)/C56</f>
        <v>6.3064631619221673E-4</v>
      </c>
    </row>
    <row r="57" spans="1:5" x14ac:dyDescent="0.45">
      <c r="A57">
        <v>379.32</v>
      </c>
      <c r="B57">
        <v>481.04</v>
      </c>
      <c r="C57">
        <v>400</v>
      </c>
      <c r="D57" t="s">
        <v>5</v>
      </c>
      <c r="E57">
        <f>((B57/A57)-1)/C57</f>
        <v>6.7041020774016695E-4</v>
      </c>
    </row>
    <row r="58" spans="1:5" x14ac:dyDescent="0.45">
      <c r="A58">
        <v>266.13</v>
      </c>
      <c r="B58">
        <v>318.20999999999998</v>
      </c>
      <c r="C58">
        <v>288</v>
      </c>
      <c r="D58" t="s">
        <v>4</v>
      </c>
      <c r="E58">
        <f>((B58/A58)-1)/C58</f>
        <v>6.7949247861320914E-4</v>
      </c>
    </row>
    <row r="59" spans="1:5" x14ac:dyDescent="0.45">
      <c r="A59">
        <v>394.69</v>
      </c>
      <c r="B59">
        <v>502.42</v>
      </c>
      <c r="C59">
        <v>398</v>
      </c>
      <c r="D59" t="s">
        <v>5</v>
      </c>
      <c r="E59">
        <f>((B59/A59)-1)/C59</f>
        <v>6.8579997456180567E-4</v>
      </c>
    </row>
    <row r="60" spans="1:5" x14ac:dyDescent="0.45">
      <c r="A60">
        <v>279.7</v>
      </c>
      <c r="B60">
        <v>364.22</v>
      </c>
      <c r="C60">
        <v>384</v>
      </c>
      <c r="D60" t="s">
        <v>4</v>
      </c>
      <c r="E60">
        <f>((B60/A60)-1)/C60</f>
        <v>7.8692944821832976E-4</v>
      </c>
    </row>
    <row r="61" spans="1:5" x14ac:dyDescent="0.45">
      <c r="A61">
        <v>319.08999999999997</v>
      </c>
      <c r="B61">
        <v>408.18</v>
      </c>
      <c r="C61">
        <v>350</v>
      </c>
      <c r="D61" t="s">
        <v>4</v>
      </c>
      <c r="E61">
        <f>((B61/A61)-1)/C61</f>
        <v>7.9771493040476738E-4</v>
      </c>
    </row>
    <row r="62" spans="1:5" x14ac:dyDescent="0.45">
      <c r="A62">
        <v>299.83999999999997</v>
      </c>
      <c r="B62">
        <v>371.05</v>
      </c>
      <c r="C62">
        <v>286</v>
      </c>
      <c r="D62" t="s">
        <v>4</v>
      </c>
      <c r="E62">
        <f>((B62/A62)-1)/C62</f>
        <v>8.3039625795762429E-4</v>
      </c>
    </row>
    <row r="63" spans="1:5" x14ac:dyDescent="0.45">
      <c r="A63">
        <v>355.5</v>
      </c>
      <c r="B63">
        <v>467.97</v>
      </c>
      <c r="C63">
        <v>350</v>
      </c>
      <c r="D63" t="s">
        <v>5</v>
      </c>
      <c r="E63">
        <f>((B63/A63)-1)/C63</f>
        <v>9.0391802290536497E-4</v>
      </c>
    </row>
    <row r="64" spans="1:5" x14ac:dyDescent="0.45">
      <c r="A64">
        <v>286.74</v>
      </c>
      <c r="B64">
        <v>365.83</v>
      </c>
      <c r="C64">
        <v>303</v>
      </c>
      <c r="D64" t="s">
        <v>5</v>
      </c>
      <c r="E64">
        <f>((B64/A64)-1)/C64</f>
        <v>9.1031283500812941E-4</v>
      </c>
    </row>
    <row r="65" spans="1:5" x14ac:dyDescent="0.45">
      <c r="A65">
        <v>213.56</v>
      </c>
      <c r="B65">
        <v>287.13</v>
      </c>
      <c r="C65">
        <v>354</v>
      </c>
      <c r="D65" t="s">
        <v>4</v>
      </c>
      <c r="E65">
        <f>((B65/A65)-1)/C65</f>
        <v>9.7314505879875473E-4</v>
      </c>
    </row>
    <row r="66" spans="1:5" x14ac:dyDescent="0.45">
      <c r="A66">
        <v>353.14</v>
      </c>
      <c r="B66">
        <v>466.81</v>
      </c>
      <c r="C66">
        <v>329</v>
      </c>
      <c r="D66" t="s">
        <v>5</v>
      </c>
      <c r="E66">
        <f>((B66/A66)-1)/C66</f>
        <v>9.7836982431001585E-4</v>
      </c>
    </row>
    <row r="67" spans="1:5" x14ac:dyDescent="0.45">
      <c r="A67">
        <v>307.25</v>
      </c>
      <c r="B67">
        <v>395.01</v>
      </c>
      <c r="C67">
        <v>264</v>
      </c>
      <c r="D67" t="s">
        <v>5</v>
      </c>
      <c r="E67">
        <f>((B67/A67)-1)/C67</f>
        <v>1.0819340681016841E-3</v>
      </c>
    </row>
    <row r="68" spans="1:5" x14ac:dyDescent="0.45">
      <c r="A68">
        <v>187.02</v>
      </c>
      <c r="B68">
        <v>231.22</v>
      </c>
      <c r="C68">
        <v>199</v>
      </c>
      <c r="D68" t="s">
        <v>4</v>
      </c>
      <c r="E68">
        <f>((B68/A68)-1)/C68</f>
        <v>1.1876299474057267E-3</v>
      </c>
    </row>
    <row r="69" spans="1:5" x14ac:dyDescent="0.45">
      <c r="A69">
        <v>204.05</v>
      </c>
      <c r="B69">
        <v>260.83</v>
      </c>
      <c r="C69">
        <v>232</v>
      </c>
      <c r="D69" t="s">
        <v>5</v>
      </c>
      <c r="E69">
        <f>((B69/A69)-1)/C69</f>
        <v>1.1994186685143091E-3</v>
      </c>
    </row>
    <row r="70" spans="1:5" x14ac:dyDescent="0.45">
      <c r="A70">
        <v>272.37</v>
      </c>
      <c r="B70">
        <v>355.6</v>
      </c>
      <c r="C70">
        <v>239</v>
      </c>
      <c r="D70" t="s">
        <v>5</v>
      </c>
      <c r="E70">
        <f>((B70/A70)-1)/C70</f>
        <v>1.2785647384964123E-3</v>
      </c>
    </row>
    <row r="71" spans="1:5" x14ac:dyDescent="0.45">
      <c r="A71">
        <v>165.02</v>
      </c>
      <c r="B71">
        <v>199.51</v>
      </c>
      <c r="C71">
        <v>163</v>
      </c>
      <c r="D71" t="s">
        <v>5</v>
      </c>
      <c r="E71">
        <f>((B71/A71)-1)/C71</f>
        <v>1.2822390742003385E-3</v>
      </c>
    </row>
    <row r="72" spans="1:5" x14ac:dyDescent="0.45">
      <c r="A72">
        <v>190.14</v>
      </c>
      <c r="B72">
        <v>233.9</v>
      </c>
      <c r="C72">
        <v>162</v>
      </c>
      <c r="D72" t="s">
        <v>5</v>
      </c>
      <c r="E72">
        <f>((B72/A72)-1)/C72</f>
        <v>1.4206556052914889E-3</v>
      </c>
    </row>
    <row r="73" spans="1:5" x14ac:dyDescent="0.45">
      <c r="A73">
        <v>232.69</v>
      </c>
      <c r="B73">
        <v>316.05</v>
      </c>
      <c r="C73">
        <v>246</v>
      </c>
      <c r="D73" t="s">
        <v>5</v>
      </c>
      <c r="E73">
        <f>((B73/A73)-1)/C73</f>
        <v>1.4562799803080762E-3</v>
      </c>
    </row>
    <row r="74" spans="1:5" x14ac:dyDescent="0.45">
      <c r="A74">
        <v>112.75</v>
      </c>
      <c r="B74">
        <v>137.9</v>
      </c>
      <c r="C74">
        <v>138</v>
      </c>
      <c r="D74" t="s">
        <v>5</v>
      </c>
      <c r="E74">
        <f>((B74/A74)-1)/C74</f>
        <v>1.6163758475529425E-3</v>
      </c>
    </row>
    <row r="75" spans="1:5" x14ac:dyDescent="0.45">
      <c r="A75">
        <v>223.42</v>
      </c>
      <c r="B75">
        <v>326.95</v>
      </c>
      <c r="C75">
        <v>286</v>
      </c>
      <c r="D75" t="s">
        <v>5</v>
      </c>
      <c r="E75">
        <f>((B75/A75)-1)/C75</f>
        <v>1.6202354623265913E-3</v>
      </c>
    </row>
    <row r="76" spans="1:5" x14ac:dyDescent="0.45">
      <c r="A76">
        <v>100.49</v>
      </c>
      <c r="B76">
        <v>124.18</v>
      </c>
      <c r="C76">
        <v>138</v>
      </c>
      <c r="D76" t="s">
        <v>4</v>
      </c>
      <c r="E76">
        <f>((B76/A76)-1)/C76</f>
        <v>1.708296016187349E-3</v>
      </c>
    </row>
    <row r="77" spans="1:5" x14ac:dyDescent="0.45">
      <c r="A77">
        <v>150.72</v>
      </c>
      <c r="B77">
        <v>194.68</v>
      </c>
      <c r="C77">
        <v>159</v>
      </c>
      <c r="D77" t="s">
        <v>4</v>
      </c>
      <c r="E77">
        <f>((B77/A77)-1)/C77</f>
        <v>1.834381551362684E-3</v>
      </c>
    </row>
    <row r="78" spans="1:5" x14ac:dyDescent="0.45">
      <c r="A78">
        <v>207.57</v>
      </c>
      <c r="B78">
        <v>303.74</v>
      </c>
      <c r="C78">
        <v>228</v>
      </c>
      <c r="D78" t="s">
        <v>5</v>
      </c>
      <c r="E78">
        <f>((B78/A78)-1)/C78</f>
        <v>2.032077109476491E-3</v>
      </c>
    </row>
    <row r="79" spans="1:5" x14ac:dyDescent="0.45">
      <c r="A79">
        <v>162.44</v>
      </c>
      <c r="B79">
        <v>249.65</v>
      </c>
      <c r="C79">
        <v>221</v>
      </c>
      <c r="D79" t="s">
        <v>4</v>
      </c>
      <c r="E79">
        <f>((B79/A79)-1)/C79</f>
        <v>2.42929933892751E-3</v>
      </c>
    </row>
    <row r="80" spans="1:5" x14ac:dyDescent="0.45">
      <c r="A80">
        <v>204.83</v>
      </c>
      <c r="B80">
        <v>297.64999999999998</v>
      </c>
      <c r="C80">
        <v>182</v>
      </c>
      <c r="D80" t="s">
        <v>5</v>
      </c>
      <c r="E80">
        <f>((B80/A80)-1)/C80</f>
        <v>2.4898696480007807E-3</v>
      </c>
    </row>
    <row r="81" spans="1:5" x14ac:dyDescent="0.45">
      <c r="A81">
        <v>107.12</v>
      </c>
      <c r="B81">
        <v>154.97999999999999</v>
      </c>
      <c r="C81">
        <v>152</v>
      </c>
      <c r="D81" t="s">
        <v>4</v>
      </c>
      <c r="E81">
        <f>((B81/A81)-1)/C81</f>
        <v>2.9393990016115708E-3</v>
      </c>
    </row>
    <row r="82" spans="1:5" x14ac:dyDescent="0.45">
      <c r="A82">
        <v>134.68</v>
      </c>
      <c r="B82">
        <v>203.63</v>
      </c>
      <c r="C82">
        <v>134</v>
      </c>
      <c r="D82" t="s">
        <v>4</v>
      </c>
      <c r="E82">
        <f>((B82/A82)-1)/C82</f>
        <v>3.8205541936885213E-3</v>
      </c>
    </row>
    <row r="83" spans="1:5" x14ac:dyDescent="0.45">
      <c r="A83">
        <v>163.66</v>
      </c>
      <c r="B83">
        <v>282.23</v>
      </c>
      <c r="C83">
        <v>186</v>
      </c>
      <c r="D83" t="s">
        <v>4</v>
      </c>
      <c r="E83">
        <f>((B83/A83)-1)/C83</f>
        <v>3.8951064296686429E-3</v>
      </c>
    </row>
    <row r="84" spans="1:5" x14ac:dyDescent="0.45">
      <c r="A84">
        <v>186.04</v>
      </c>
      <c r="B84">
        <v>296.86</v>
      </c>
      <c r="C84">
        <v>120</v>
      </c>
      <c r="D84" t="s">
        <v>4</v>
      </c>
      <c r="E84">
        <f>((B84/A84)-1)/C84</f>
        <v>4.9639862395183844E-3</v>
      </c>
    </row>
    <row r="85" spans="1:5" x14ac:dyDescent="0.45">
      <c r="A85">
        <v>136.34</v>
      </c>
      <c r="B85">
        <v>206.61</v>
      </c>
      <c r="C85">
        <v>89</v>
      </c>
      <c r="D85" t="s">
        <v>5</v>
      </c>
      <c r="E85">
        <f>((B85/A85)-1)/C85</f>
        <v>5.7910412336640233E-3</v>
      </c>
    </row>
    <row r="86" spans="1:5" x14ac:dyDescent="0.45">
      <c r="A86">
        <v>96.19</v>
      </c>
      <c r="B86">
        <v>177.15</v>
      </c>
      <c r="C86">
        <v>125</v>
      </c>
      <c r="D86" t="s">
        <v>4</v>
      </c>
      <c r="E86">
        <f>((B86/A86)-1)/C86</f>
        <v>6.7333402640607151E-3</v>
      </c>
    </row>
    <row r="87" spans="1:5" x14ac:dyDescent="0.45">
      <c r="A87">
        <v>68.98</v>
      </c>
      <c r="B87">
        <v>122.75</v>
      </c>
      <c r="C87">
        <v>110</v>
      </c>
      <c r="D87" t="s">
        <v>5</v>
      </c>
      <c r="E87">
        <f>((B87/A87)-1)/C87</f>
        <v>7.0863754975091595E-3</v>
      </c>
    </row>
    <row r="88" spans="1:5" x14ac:dyDescent="0.45">
      <c r="A88">
        <v>75.02</v>
      </c>
      <c r="B88">
        <v>120.2</v>
      </c>
      <c r="C88">
        <v>82</v>
      </c>
      <c r="D88" t="s">
        <v>5</v>
      </c>
      <c r="E88">
        <f>((B88/A88)-1)/C88</f>
        <v>7.3443829612916253E-3</v>
      </c>
    </row>
    <row r="89" spans="1:5" x14ac:dyDescent="0.45">
      <c r="A89">
        <v>64.45</v>
      </c>
      <c r="B89">
        <v>112.94</v>
      </c>
      <c r="C89">
        <v>92</v>
      </c>
      <c r="D89" t="s">
        <v>5</v>
      </c>
      <c r="E89">
        <f>((B89/A89)-1)/C89</f>
        <v>8.1778932101055739E-3</v>
      </c>
    </row>
    <row r="90" spans="1:5" x14ac:dyDescent="0.45">
      <c r="A90">
        <v>99.69</v>
      </c>
      <c r="B90">
        <v>169.41</v>
      </c>
      <c r="C90">
        <v>66</v>
      </c>
      <c r="D90" t="s">
        <v>5</v>
      </c>
      <c r="E90">
        <f>((B90/A90)-1)/C90</f>
        <v>1.0596485468588988E-2</v>
      </c>
    </row>
    <row r="91" spans="1:5" x14ac:dyDescent="0.45">
      <c r="A91">
        <v>86.29</v>
      </c>
      <c r="B91">
        <v>203.47</v>
      </c>
      <c r="C91">
        <v>91</v>
      </c>
      <c r="D91" t="s">
        <v>4</v>
      </c>
      <c r="E91">
        <f>((B91/A91)-1)/C91</f>
        <v>1.4922845146509531E-2</v>
      </c>
    </row>
    <row r="92" spans="1:5" x14ac:dyDescent="0.45">
      <c r="A92">
        <v>77.97</v>
      </c>
      <c r="B92">
        <v>168.28</v>
      </c>
      <c r="C92">
        <v>70</v>
      </c>
      <c r="D92" t="s">
        <v>4</v>
      </c>
      <c r="E92">
        <f>((B92/A92)-1)/C92</f>
        <v>1.6546657139192733E-2</v>
      </c>
    </row>
    <row r="93" spans="1:5" x14ac:dyDescent="0.45">
      <c r="A93">
        <v>52.77</v>
      </c>
      <c r="B93">
        <v>102.86</v>
      </c>
      <c r="C93">
        <v>53</v>
      </c>
      <c r="D93" t="s">
        <v>5</v>
      </c>
      <c r="E93">
        <f>((B93/A93)-1)/C93</f>
        <v>1.7909689968213786E-2</v>
      </c>
    </row>
    <row r="94" spans="1:5" x14ac:dyDescent="0.45">
      <c r="A94">
        <v>54.02</v>
      </c>
      <c r="B94">
        <v>110.38</v>
      </c>
      <c r="C94">
        <v>56</v>
      </c>
      <c r="D94" t="s">
        <v>5</v>
      </c>
      <c r="E94">
        <f>((B94/A94)-1)/C94</f>
        <v>1.8630665890939861E-2</v>
      </c>
    </row>
    <row r="95" spans="1:5" x14ac:dyDescent="0.45">
      <c r="A95">
        <v>68.11</v>
      </c>
      <c r="B95">
        <v>184.36</v>
      </c>
      <c r="C95">
        <v>91</v>
      </c>
      <c r="D95" t="s">
        <v>5</v>
      </c>
      <c r="E95">
        <f>((B95/A95)-1)/C95</f>
        <v>1.8756020077411947E-2</v>
      </c>
    </row>
    <row r="96" spans="1:5" x14ac:dyDescent="0.45">
      <c r="A96">
        <v>91.3</v>
      </c>
      <c r="B96">
        <v>163.18</v>
      </c>
      <c r="C96">
        <v>17</v>
      </c>
      <c r="D96" t="s">
        <v>5</v>
      </c>
      <c r="E96">
        <f>((B96/A96)-1)/C96</f>
        <v>4.6311449004574456E-2</v>
      </c>
    </row>
    <row r="97" spans="1:5" x14ac:dyDescent="0.45">
      <c r="A97">
        <v>13.51</v>
      </c>
      <c r="B97">
        <v>55.72</v>
      </c>
      <c r="C97">
        <v>58</v>
      </c>
      <c r="D97" t="s">
        <v>4</v>
      </c>
      <c r="E97">
        <f>((B97/A97)-1)/C97</f>
        <v>5.3868143648383056E-2</v>
      </c>
    </row>
    <row r="98" spans="1:5" x14ac:dyDescent="0.45">
      <c r="A98">
        <v>40.130000000000003</v>
      </c>
      <c r="B98">
        <v>72.12</v>
      </c>
      <c r="C98">
        <v>13</v>
      </c>
      <c r="D98" t="s">
        <v>5</v>
      </c>
      <c r="E98">
        <f>((B98/A98)-1)/C98</f>
        <v>6.1319940961107169E-2</v>
      </c>
    </row>
    <row r="99" spans="1:5" x14ac:dyDescent="0.45">
      <c r="A99">
        <v>32.020000000000003</v>
      </c>
      <c r="B99">
        <v>146.32</v>
      </c>
      <c r="C99">
        <v>54</v>
      </c>
      <c r="D99" t="s">
        <v>5</v>
      </c>
      <c r="E99">
        <f>((B99/A99)-1)/C99</f>
        <v>6.610451800957734E-2</v>
      </c>
    </row>
    <row r="100" spans="1:5" x14ac:dyDescent="0.45">
      <c r="A100">
        <v>39</v>
      </c>
      <c r="B100">
        <v>91.32</v>
      </c>
      <c r="C100">
        <v>16</v>
      </c>
      <c r="D100" t="s">
        <v>4</v>
      </c>
      <c r="E100">
        <f>((B100/A100)-1)/C100</f>
        <v>8.3846153846153848E-2</v>
      </c>
    </row>
    <row r="101" spans="1:5" x14ac:dyDescent="0.45">
      <c r="A101">
        <v>22.42</v>
      </c>
      <c r="B101">
        <v>84.16</v>
      </c>
      <c r="C101">
        <v>7</v>
      </c>
      <c r="D101" t="s">
        <v>5</v>
      </c>
      <c r="E101">
        <f>((B101/A101)-1)/C101</f>
        <v>0.39339875111507577</v>
      </c>
    </row>
  </sheetData>
  <sortState xmlns:xlrd2="http://schemas.microsoft.com/office/spreadsheetml/2017/richdata2" ref="A2:E103">
    <sortCondition ref="E1:E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001_ka</vt:lpstr>
      <vt:lpstr>002_vi</vt:lpstr>
      <vt:lpstr>003_st</vt:lpstr>
      <vt:lpstr>004_go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Kavitha</dc:creator>
  <cp:lastModifiedBy>P Kavitha</cp:lastModifiedBy>
  <dcterms:created xsi:type="dcterms:W3CDTF">2015-06-05T18:17:20Z</dcterms:created>
  <dcterms:modified xsi:type="dcterms:W3CDTF">2025-11-13T17:47:13Z</dcterms:modified>
</cp:coreProperties>
</file>